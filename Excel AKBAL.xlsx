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5dd792ebea5a0fc9/Escritorio/Documentos/PROYECTO YACIMIENTOS/"/>
    </mc:Choice>
  </mc:AlternateContent>
  <xr:revisionPtr revIDLastSave="0" documentId="8_{C4159700-24F6-4393-AACD-2BC2AD4FE485}" xr6:coauthVersionLast="47" xr6:coauthVersionMax="47" xr10:uidLastSave="{00000000-0000-0000-0000-000000000000}"/>
  <bookViews>
    <workbookView xWindow="-108" yWindow="-108" windowWidth="23256" windowHeight="12456" firstSheet="1" activeTab="4" xr2:uid="{590232C1-CDC9-4C48-95A3-8B521A675C42}"/>
  </bookViews>
  <sheets>
    <sheet name="00_PORTADA" sheetId="9" r:id="rId1"/>
    <sheet name="01_PARAMETROS" sheetId="3" r:id="rId2"/>
    <sheet name="01_CARACTERIZACION" sheetId="4" r:id="rId3"/>
    <sheet name="02_PVT" sheetId="5" r:id="rId4"/>
    <sheet name="03_HISTORIAL" sheetId="6" r:id="rId5"/>
    <sheet name="04_EXPANSION" sheetId="7" r:id="rId6"/>
    <sheet name="05_RETIRO" sheetId="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8" l="1"/>
  <c r="F4" i="5"/>
  <c r="I4" i="5" s="1"/>
  <c r="C13" i="9"/>
  <c r="C12" i="9"/>
  <c r="C11" i="9"/>
  <c r="P3" i="8"/>
  <c r="O3" i="8"/>
  <c r="N3" i="8"/>
  <c r="G3" i="8"/>
  <c r="E3" i="8"/>
  <c r="K4" i="6"/>
  <c r="J4" i="6"/>
  <c r="I4" i="6"/>
  <c r="H4" i="6"/>
  <c r="G4" i="6"/>
  <c r="F4" i="6"/>
  <c r="K3" i="8" s="1"/>
  <c r="J4" i="5"/>
  <c r="E5" i="4"/>
  <c r="E4" i="4"/>
  <c r="E3" i="4"/>
  <c r="E6" i="4" s="1"/>
  <c r="F5" i="6"/>
  <c r="J5" i="6" s="1"/>
  <c r="K5" i="6" s="1"/>
  <c r="F6" i="6"/>
  <c r="F7" i="6"/>
  <c r="J7" i="6" s="1"/>
  <c r="K7" i="6" s="1"/>
  <c r="F8" i="6"/>
  <c r="J8" i="6" s="1"/>
  <c r="K8" i="6" s="1"/>
  <c r="F9" i="6"/>
  <c r="K8" i="8" s="1"/>
  <c r="J6" i="6"/>
  <c r="K6" i="6" s="1"/>
  <c r="I5" i="6"/>
  <c r="I6" i="6"/>
  <c r="I7" i="6"/>
  <c r="I8" i="6"/>
  <c r="I9" i="6"/>
  <c r="H5" i="6"/>
  <c r="H6" i="6"/>
  <c r="H7" i="6"/>
  <c r="H8" i="6"/>
  <c r="H9" i="6"/>
  <c r="G5" i="6"/>
  <c r="G6" i="6"/>
  <c r="G7" i="6"/>
  <c r="G8" i="6"/>
  <c r="G9" i="6"/>
  <c r="B3" i="8"/>
  <c r="Q3" i="8" s="1"/>
  <c r="R3" i="8" s="1"/>
  <c r="M4" i="8"/>
  <c r="M5" i="8"/>
  <c r="M6" i="8"/>
  <c r="M7" i="8"/>
  <c r="M8" i="8"/>
  <c r="M3" i="8"/>
  <c r="L4" i="8"/>
  <c r="L5" i="8"/>
  <c r="L6" i="8"/>
  <c r="L7" i="8"/>
  <c r="L8" i="8"/>
  <c r="L3" i="8"/>
  <c r="K5" i="8"/>
  <c r="J4" i="8"/>
  <c r="N4" i="8" s="1"/>
  <c r="J5" i="8"/>
  <c r="N5" i="8" s="1"/>
  <c r="J6" i="8"/>
  <c r="J7" i="8"/>
  <c r="J8" i="8"/>
  <c r="J3" i="8"/>
  <c r="I4" i="8"/>
  <c r="I5" i="8"/>
  <c r="I6" i="8"/>
  <c r="I7" i="8"/>
  <c r="I8" i="8"/>
  <c r="I3" i="8"/>
  <c r="G4" i="8"/>
  <c r="P4" i="8" s="1"/>
  <c r="G5" i="8"/>
  <c r="P5" i="8" s="1"/>
  <c r="G6" i="8"/>
  <c r="P6" i="8" s="1"/>
  <c r="G7" i="8"/>
  <c r="P7" i="8" s="1"/>
  <c r="G8" i="8"/>
  <c r="P8" i="8" s="1"/>
  <c r="E4" i="8"/>
  <c r="E5" i="8"/>
  <c r="E6" i="8"/>
  <c r="E7" i="8"/>
  <c r="E8" i="8"/>
  <c r="B4" i="8"/>
  <c r="B5" i="8"/>
  <c r="B6" i="8"/>
  <c r="B7" i="8"/>
  <c r="B8" i="8"/>
  <c r="A4" i="8"/>
  <c r="A13" i="8" s="1"/>
  <c r="A5" i="8"/>
  <c r="A14" i="8" s="1"/>
  <c r="A6" i="8"/>
  <c r="A15" i="8" s="1"/>
  <c r="A7" i="8"/>
  <c r="A16" i="8" s="1"/>
  <c r="A8" i="8"/>
  <c r="A17" i="8" s="1"/>
  <c r="A3" i="8"/>
  <c r="A12" i="8" s="1"/>
  <c r="B3" i="7"/>
  <c r="K3" i="7" s="1"/>
  <c r="B4" i="7"/>
  <c r="B5" i="7"/>
  <c r="B6" i="7"/>
  <c r="C6" i="7" s="1"/>
  <c r="C6" i="8" s="1"/>
  <c r="B7" i="7"/>
  <c r="B8" i="7"/>
  <c r="H4" i="7"/>
  <c r="H5" i="7"/>
  <c r="H6" i="7"/>
  <c r="H7" i="7"/>
  <c r="H8" i="7"/>
  <c r="H3" i="7"/>
  <c r="G4" i="7"/>
  <c r="G5" i="7"/>
  <c r="G6" i="7"/>
  <c r="G7" i="7"/>
  <c r="G8" i="7"/>
  <c r="G3" i="7"/>
  <c r="F4" i="7"/>
  <c r="F5" i="7"/>
  <c r="F6" i="7"/>
  <c r="F7" i="7"/>
  <c r="F8" i="7"/>
  <c r="F3" i="7"/>
  <c r="J3" i="7" s="1"/>
  <c r="E4" i="7"/>
  <c r="E5" i="7"/>
  <c r="E6" i="7"/>
  <c r="E7" i="7"/>
  <c r="E8" i="7"/>
  <c r="E3" i="7"/>
  <c r="D4" i="7"/>
  <c r="D5" i="7"/>
  <c r="D6" i="7"/>
  <c r="D7" i="7"/>
  <c r="D8" i="7"/>
  <c r="D3" i="7"/>
  <c r="A4" i="7"/>
  <c r="A5" i="7"/>
  <c r="A6" i="7"/>
  <c r="A7" i="7"/>
  <c r="A8" i="7"/>
  <c r="A3" i="7"/>
  <c r="B5" i="6"/>
  <c r="B6" i="6"/>
  <c r="B7" i="6"/>
  <c r="B8" i="6"/>
  <c r="B9" i="6"/>
  <c r="B4" i="6"/>
  <c r="A5" i="6"/>
  <c r="A6" i="6"/>
  <c r="A7" i="6"/>
  <c r="A8" i="6"/>
  <c r="A9" i="6"/>
  <c r="A4" i="6"/>
  <c r="G5" i="5"/>
  <c r="G6" i="5"/>
  <c r="G7" i="5"/>
  <c r="G8" i="5"/>
  <c r="H8" i="5" s="1"/>
  <c r="G9" i="5"/>
  <c r="H9" i="5" s="1"/>
  <c r="F5" i="5"/>
  <c r="I5" i="5" s="1"/>
  <c r="F6" i="5"/>
  <c r="I6" i="5" s="1"/>
  <c r="F7" i="5"/>
  <c r="I7" i="5" s="1"/>
  <c r="F8" i="5"/>
  <c r="I8" i="5" s="1"/>
  <c r="F9" i="5"/>
  <c r="I9" i="5" s="1"/>
  <c r="J7" i="7" l="1"/>
  <c r="K7" i="7" s="1"/>
  <c r="K7" i="8"/>
  <c r="O7" i="8" s="1"/>
  <c r="Q7" i="8" s="1"/>
  <c r="J9" i="6"/>
  <c r="K9" i="6" s="1"/>
  <c r="D3" i="8"/>
  <c r="F3" i="8" s="1"/>
  <c r="K6" i="8"/>
  <c r="J6" i="7"/>
  <c r="K6" i="7" s="1"/>
  <c r="N8" i="8"/>
  <c r="J9" i="5"/>
  <c r="N7" i="8"/>
  <c r="K4" i="8"/>
  <c r="J8" i="5"/>
  <c r="C3" i="7"/>
  <c r="C3" i="8" s="1"/>
  <c r="N6" i="8"/>
  <c r="J8" i="7"/>
  <c r="K8" i="7" s="1"/>
  <c r="J4" i="7"/>
  <c r="J5" i="7"/>
  <c r="Q5" i="8"/>
  <c r="I5" i="7"/>
  <c r="L5" i="7" s="1"/>
  <c r="M5" i="7" s="1"/>
  <c r="I6" i="7"/>
  <c r="L6" i="7" s="1"/>
  <c r="M6" i="7" s="1"/>
  <c r="I3" i="7"/>
  <c r="L3" i="7" s="1"/>
  <c r="M3" i="7" s="1"/>
  <c r="Q4" i="8"/>
  <c r="I4" i="7"/>
  <c r="L4" i="7" s="1"/>
  <c r="M4" i="7" s="1"/>
  <c r="I7" i="7"/>
  <c r="I8" i="7"/>
  <c r="D4" i="8"/>
  <c r="F4" i="8" s="1"/>
  <c r="O4" i="8"/>
  <c r="O5" i="8"/>
  <c r="D5" i="8"/>
  <c r="F5" i="8" s="1"/>
  <c r="O6" i="8"/>
  <c r="Q6" i="8" s="1"/>
  <c r="D6" i="8"/>
  <c r="F6" i="8" s="1"/>
  <c r="D7" i="8"/>
  <c r="F7" i="8" s="1"/>
  <c r="O8" i="8"/>
  <c r="Q8" i="8" s="1"/>
  <c r="D8" i="8"/>
  <c r="F8" i="8" s="1"/>
  <c r="C4" i="7"/>
  <c r="C4" i="8" s="1"/>
  <c r="K4" i="7"/>
  <c r="C5" i="7"/>
  <c r="C5" i="8" s="1"/>
  <c r="K5" i="7"/>
  <c r="C7" i="7"/>
  <c r="C7" i="8" s="1"/>
  <c r="C8" i="7"/>
  <c r="C8" i="8" s="1"/>
  <c r="H7" i="5"/>
  <c r="J7" i="5" s="1"/>
  <c r="H6" i="5"/>
  <c r="J6" i="5" s="1"/>
  <c r="H5" i="5"/>
  <c r="J5" i="5" s="1"/>
  <c r="E8" i="4"/>
  <c r="E7" i="4"/>
  <c r="L7" i="7" l="1"/>
  <c r="M7" i="7" s="1"/>
  <c r="L8" i="7"/>
  <c r="M8" i="7" s="1"/>
  <c r="R5" i="8"/>
  <c r="C14" i="8"/>
  <c r="C13" i="8"/>
  <c r="R4" i="8"/>
  <c r="C12" i="8"/>
  <c r="B14" i="8"/>
  <c r="H5" i="8"/>
  <c r="H6" i="8"/>
  <c r="B15" i="8"/>
  <c r="H4" i="8"/>
  <c r="B13" i="8"/>
  <c r="H7" i="8"/>
  <c r="B16" i="8"/>
  <c r="H8" i="8"/>
  <c r="B17" i="8"/>
  <c r="C17" i="8"/>
  <c r="R8" i="8"/>
  <c r="E9" i="4"/>
  <c r="E10" i="4" s="1"/>
  <c r="B12" i="8"/>
  <c r="C15" i="8"/>
  <c r="R6" i="8"/>
  <c r="C16" i="8"/>
  <c r="R7" i="8"/>
</calcChain>
</file>

<file path=xl/sharedStrings.xml><?xml version="1.0" encoding="utf-8"?>
<sst xmlns="http://schemas.openxmlformats.org/spreadsheetml/2006/main" count="200" uniqueCount="151">
  <si>
    <t>Valor</t>
  </si>
  <si>
    <t>Unidad</t>
  </si>
  <si>
    <t>m³</t>
  </si>
  <si>
    <t>φ</t>
  </si>
  <si>
    <t>Swi</t>
  </si>
  <si>
    <t>Vw</t>
  </si>
  <si>
    <t>Variable</t>
  </si>
  <si>
    <t>Interpretación</t>
  </si>
  <si>
    <t>Tipo</t>
  </si>
  <si>
    <t>Vb</t>
  </si>
  <si>
    <t>Volumen bruto del Yacimiento</t>
  </si>
  <si>
    <t>Fracción</t>
  </si>
  <si>
    <t>Porosidad de la formación</t>
  </si>
  <si>
    <t>Didáctico</t>
  </si>
  <si>
    <t>Saturación inicial del agua</t>
  </si>
  <si>
    <t>Pi</t>
  </si>
  <si>
    <t>kg/cm²(a)</t>
  </si>
  <si>
    <t>PVT referencia</t>
  </si>
  <si>
    <t>Presión Inicial del yacimiento</t>
  </si>
  <si>
    <t>Pb</t>
  </si>
  <si>
    <t>Presión de burbuja</t>
  </si>
  <si>
    <t>T</t>
  </si>
  <si>
    <t>°C</t>
  </si>
  <si>
    <t>Temperatura de yacimiento</t>
  </si>
  <si>
    <t>Boi</t>
  </si>
  <si>
    <t>m³/m³</t>
  </si>
  <si>
    <t>Factor volumetrico inicial de aceite</t>
  </si>
  <si>
    <t>Rsi</t>
  </si>
  <si>
    <t>Relación gas-aceite disuelto inicial</t>
  </si>
  <si>
    <t>PASO</t>
  </si>
  <si>
    <t>VARIABLE</t>
  </si>
  <si>
    <t>ECUACIÓN</t>
  </si>
  <si>
    <t>LOGICA EXCEL</t>
  </si>
  <si>
    <t>RESULTADO</t>
  </si>
  <si>
    <t>UNIDAD</t>
  </si>
  <si>
    <t>Dato de entrada</t>
  </si>
  <si>
    <t>Llamar φ de parámetros</t>
  </si>
  <si>
    <t>Llamar Swi de parámetros</t>
  </si>
  <si>
    <t>Llamar Vb de parámetros</t>
  </si>
  <si>
    <t>PV</t>
  </si>
  <si>
    <t>PV = Vb × φ</t>
  </si>
  <si>
    <t>Vb * φ</t>
  </si>
  <si>
    <t>Vw = PV × Swi</t>
  </si>
  <si>
    <t>PV * Swi</t>
  </si>
  <si>
    <t>HCPV = PV × (1-Swi)</t>
  </si>
  <si>
    <t>HCPV</t>
  </si>
  <si>
    <t>PV * (1-Swi)</t>
  </si>
  <si>
    <t>Comprobación</t>
  </si>
  <si>
    <t>Vw + HCPV = PV</t>
  </si>
  <si>
    <t>Vw + HCPV</t>
  </si>
  <si>
    <t>Etapa</t>
  </si>
  <si>
    <t>P kg/cm²(a)</t>
  </si>
  <si>
    <t>Bo m³/m³</t>
  </si>
  <si>
    <t>Rs m³/m³</t>
  </si>
  <si>
    <t>Bg m³/m³</t>
  </si>
  <si>
    <t>Estado</t>
  </si>
  <si>
    <t>ΔP kg/cm²</t>
  </si>
  <si>
    <t>% Agotamiento</t>
  </si>
  <si>
    <t>Validación</t>
  </si>
  <si>
    <t>Esperado: PV 56,000 m³ · Vw 14,000 m³ · HCPV 42,000 m³ · Comprobación 56,000 m³ · Error 0</t>
  </si>
  <si>
    <t>Error de cierre</t>
  </si>
  <si>
    <t>Comprobación - PV</t>
  </si>
  <si>
    <t>Debe ser 0</t>
  </si>
  <si>
    <t>CONCEPTO</t>
  </si>
  <si>
    <t>ARRIBA / HACIA Pb</t>
  </si>
  <si>
    <t>DEBAJO DE Pb</t>
  </si>
  <si>
    <t>P &gt; Pb: subsaturado</t>
  </si>
  <si>
    <t>P &lt; Pb: bifásico</t>
  </si>
  <si>
    <t>Bo</t>
  </si>
  <si>
    <t>Aumenta hacia Pb</t>
  </si>
  <si>
    <t>Disminuye</t>
  </si>
  <si>
    <t>Rs</t>
  </si>
  <si>
    <t>Se mantiene constante</t>
  </si>
  <si>
    <t>Bg</t>
  </si>
  <si>
    <t>No utilizado</t>
  </si>
  <si>
    <t>Aumenta al caer P</t>
  </si>
  <si>
    <t>Historial de producción</t>
  </si>
  <si>
    <t>Np m³</t>
  </si>
  <si>
    <t>Gp m³</t>
  </si>
  <si>
    <t>Wp m³</t>
  </si>
  <si>
    <t>Rp m³/m³</t>
  </si>
  <si>
    <t>Análisis del comportamiento del fluido durante el agotamiento de presión</t>
  </si>
  <si>
    <t>Presión kg/cm²(a)</t>
  </si>
  <si>
    <t>Región del fluido</t>
  </si>
  <si>
    <t>Bo - Boi</t>
  </si>
  <si>
    <t>Rsi - Rs</t>
  </si>
  <si>
    <t>INTERPRETACIÓN FÍSICA DE LA EXPANSIÓN DEL SISTEMA</t>
  </si>
  <si>
    <t>Durante la disminución de presión del yacimiento, la expansión del sistema de petróleo presenta un comportamiento diferente según la región del fluido. Por encima de la presión de burbuja de 200 kg/cm²(a), la expansión depende únicamente del cambio del factor volumétrico del petróleo (Bo − Boi).
Cuando la presión disminuye por debajo del punto de burbuja, comienza la liberación de gas disuelto y aparece una contribución adicional a la expansión, representada por (Rsi − Rs) × Bg. Aunque el factor volumétrico del petróleo disminuye, el gas liberado provoca que la expansión total aumente.
En el modelo analizado, Eo aumenta desde 0 hasta 0.42480 m³/m³ conforme la presión disminuye de 320 a 100 kg/cm²(a). Esto demuestra la importancia del gas liberado en el comportamiento volumétrico del yacimiento.</t>
  </si>
  <si>
    <t>Presión kg/cm² (a)</t>
  </si>
  <si>
    <t>Caq</t>
  </si>
  <si>
    <t>We m³</t>
  </si>
  <si>
    <t>Bw</t>
  </si>
  <si>
    <t>We × Bw m³</t>
  </si>
  <si>
    <t>Rp</t>
  </si>
  <si>
    <t>Np × Bo</t>
  </si>
  <si>
    <t>Np × (Rp − Rs) × Bg</t>
  </si>
  <si>
    <t>Wp × Bw</t>
  </si>
  <si>
    <t>F m³</t>
  </si>
  <si>
    <t>m³/[kg/cm²]</t>
  </si>
  <si>
    <t>Supuesto didáctico</t>
  </si>
  <si>
    <t>Coeficiente lineal de entrada de agua del acuífero</t>
  </si>
  <si>
    <t>Factor volumétrico del agua</t>
  </si>
  <si>
    <t>Validación de F</t>
  </si>
  <si>
    <t>We (m³)</t>
  </si>
  <si>
    <t>F (m³)</t>
  </si>
  <si>
    <t>HIPÓTESIS Y LIMITACIONES DEL MODELO DIDÁCTICO</t>
  </si>
  <si>
    <t>INTERPRETACIÓN TÉCNICA DEL EFECTO DEL ACUÍFERO</t>
  </si>
  <si>
    <t>Durante la disminución de presión del yacimiento, el acuífero aporta agua hacia la zona productora. En el modelo didáctico utilizado, la entrada acumulada de agua (We) aumenta de 0 a 22,000 m³ cuando la presión disminuye de 320 a 100 kg/cm²(a).
Por otra parte, el retiro subterráneo (F) aumenta progresivamente hasta alcanzar 34,820.80 m³ en la etapa 8. Este incremento se debe a la producción acumulada de petróleo, agua y, por debajo de la presión de burbuja, a la contribución del gas producido.
En la última etapa, el aporte equivalente del acuífero (We × Bw) es de 22,440 m³, lo que representa aproximadamente el 64.4% del retiro subterráneo. Esto indica que el acuífero contribuye a compensar parcialmente la extracción de fluidos, favoreciendo el mantenimiento de la presión, aunque no es suficiente para compensar completamente el retiro calculado.</t>
  </si>
  <si>
    <t>Bo (m³/m³)</t>
  </si>
  <si>
    <t>Rs (m³/m³)</t>
  </si>
  <si>
    <t>Bg (m³/m³)</t>
  </si>
  <si>
    <t>Gp calculado (m³)</t>
  </si>
  <si>
    <t>Boi m³/m³</t>
  </si>
  <si>
    <t>Rsi m³/m³</t>
  </si>
  <si>
    <t>Eo m³/m³</t>
  </si>
  <si>
    <t>(Rsi − Rs) × Bg</t>
  </si>
  <si>
    <t>PRESIÓN Y COMPORTAMIENTO PVT</t>
  </si>
  <si>
    <t>PARÁMETROS DEL YACIMIENTO</t>
  </si>
  <si>
    <t>CARACTERIZACIÓN DEL YACIMIENTO</t>
  </si>
  <si>
    <t xml:space="preserve"> ENTRADA DE AGUA Y RETIRO SUBTERRÁNEO</t>
  </si>
  <si>
    <t>EXPANSIÓN DEL SISTEMA</t>
  </si>
  <si>
    <t>HISTORIAL DE PRODUCCIÓN</t>
  </si>
  <si>
    <t>INTERPRETACIÓN TÉCNICA DEL HISTORIAL DE PRODUCCIÓN</t>
  </si>
  <si>
    <t>DATOS GENERALES DEL PROYECTO</t>
  </si>
  <si>
    <t>Nombre del yacimiento</t>
  </si>
  <si>
    <t>Ubicación</t>
  </si>
  <si>
    <t>Cuenca del Sureste, México (ficticia)</t>
  </si>
  <si>
    <t>Tipo de yacimiento</t>
  </si>
  <si>
    <t>Petrolero convencional</t>
  </si>
  <si>
    <t>Presión inicial (Pi)</t>
  </si>
  <si>
    <t>Presión de burbuja (Pb)</t>
  </si>
  <si>
    <t>Volumen bruto (Vb)</t>
  </si>
  <si>
    <t>DATOS ACADÉMICOS</t>
  </si>
  <si>
    <t>Alumnos</t>
  </si>
  <si>
    <t>Julia Isabella Ponce Méndez, Erick Eduardo Luna Bautista</t>
  </si>
  <si>
    <t xml:space="preserve">Materia </t>
  </si>
  <si>
    <t>Caracterización de Yacimientos 1</t>
  </si>
  <si>
    <t>Docente</t>
  </si>
  <si>
    <t>Odalis Alejandra Caña Aguirre</t>
  </si>
  <si>
    <t>Modalidad</t>
  </si>
  <si>
    <t>Sabatina</t>
  </si>
  <si>
    <t>Fecha</t>
  </si>
  <si>
    <t>CONTENIDO DEL PROYECTO</t>
  </si>
  <si>
    <t>Caracterización del yacimiento</t>
  </si>
  <si>
    <t>Propiedades PVT y comportamiento de presión</t>
  </si>
  <si>
    <t>Expansión del petróleo</t>
  </si>
  <si>
    <t>Entrada de agua y retiro total de fluidos</t>
  </si>
  <si>
    <t>Proyecto académico de caracterización y análisis de un yacimiento petrolero hipotético.</t>
  </si>
  <si>
    <t>PROYECTO INTEGRADOR DE CARACTERIZACIÓN DE YACIMIENTOS PETROLEROS</t>
  </si>
  <si>
    <t>YACIMIENTO AKBAL</t>
  </si>
  <si>
    <t>Akbal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</si>
</sst>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1">
    <font>
      <sz val="11"/>
      <color theme="1"/>
      <name val="Calibri"/>
      <family val="2"/>
      <scheme val="minor"/>
    </font>
    <font>
      <sz val="11"/>
      <color theme="1"/>
      <name val="Calibri"/>
      <family val="2"/>
      <scheme val="minor"/>
    </font>
    <font>
      <sz val="8"/>
      <name val="Calibri"/>
      <family val="2"/>
      <scheme val="minor"/>
    </font>
    <font>
      <sz val="10"/>
      <color theme="1"/>
      <name val="Arial Unicode MS"/>
    </font>
    <font>
      <sz val="10"/>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22"/>
      <color theme="0"/>
      <name val="Calibri"/>
      <family val="2"/>
      <scheme val="minor"/>
    </font>
  </fonts>
  <fills count="10">
    <fill>
      <patternFill patternType="none"/>
    </fill>
    <fill>
      <patternFill patternType="gray125"/>
    </fill>
    <fill>
      <patternFill patternType="solid">
        <fgColor rgb="FFFFCCFF"/>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CC0099"/>
        <bgColor indexed="64"/>
      </patternFill>
    </fill>
    <fill>
      <patternFill patternType="solid">
        <fgColor theme="0" tint="-0.14999847407452621"/>
        <bgColor theme="7" tint="0.79998168889431442"/>
      </patternFill>
    </fill>
    <fill>
      <patternFill patternType="solid">
        <fgColor rgb="FFFFCCFF"/>
        <bgColor theme="7"/>
      </patternFill>
    </fill>
    <fill>
      <patternFill patternType="solid">
        <fgColor theme="0" tint="-0.14999847407452621"/>
        <bgColor theme="4" tint="0.79998168889431442"/>
      </patternFill>
    </fill>
    <fill>
      <patternFill patternType="solid">
        <fgColor rgb="FFFFCCFF"/>
        <bgColor theme="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9" fontId="1" fillId="0" borderId="0" applyFont="0" applyFill="0" applyBorder="0" applyAlignment="0" applyProtection="0"/>
  </cellStyleXfs>
  <cellXfs count="41">
    <xf numFmtId="0" fontId="0" fillId="0" borderId="0" xfId="0"/>
    <xf numFmtId="3" fontId="0" fillId="0" borderId="0" xfId="0" applyNumberFormat="1"/>
    <xf numFmtId="0" fontId="3" fillId="0" borderId="0" xfId="0" applyFont="1"/>
    <xf numFmtId="0" fontId="0" fillId="0" borderId="0" xfId="0" applyAlignment="1">
      <alignment horizontal="center"/>
    </xf>
    <xf numFmtId="10" fontId="0" fillId="0" borderId="0" xfId="1" applyNumberFormat="1" applyFont="1"/>
    <xf numFmtId="0" fontId="0" fillId="4" borderId="1" xfId="0" applyFill="1" applyBorder="1"/>
    <xf numFmtId="0" fontId="3" fillId="4" borderId="1" xfId="0" applyFont="1" applyFill="1" applyBorder="1"/>
    <xf numFmtId="0" fontId="0" fillId="0" borderId="0" xfId="0" applyAlignment="1">
      <alignment horizontal="center" wrapText="1"/>
    </xf>
    <xf numFmtId="0" fontId="0" fillId="0" borderId="0" xfId="0" applyAlignment="1">
      <alignment wrapText="1"/>
    </xf>
    <xf numFmtId="0" fontId="0" fillId="0" borderId="2" xfId="0" applyBorder="1"/>
    <xf numFmtId="0" fontId="6" fillId="2" borderId="1" xfId="0" applyFont="1" applyFill="1" applyBorder="1"/>
    <xf numFmtId="0" fontId="0" fillId="5" borderId="0" xfId="0" applyFill="1"/>
    <xf numFmtId="0" fontId="9" fillId="6" borderId="1" xfId="0" applyFont="1" applyFill="1" applyBorder="1"/>
    <xf numFmtId="3" fontId="9" fillId="6" borderId="1" xfId="0" applyNumberFormat="1" applyFont="1" applyFill="1" applyBorder="1"/>
    <xf numFmtId="0" fontId="9" fillId="4" borderId="1" xfId="0" applyFont="1" applyFill="1" applyBorder="1"/>
    <xf numFmtId="0" fontId="8" fillId="2" borderId="1" xfId="0" applyFont="1" applyFill="1" applyBorder="1"/>
    <xf numFmtId="0" fontId="8" fillId="7" borderId="1" xfId="0" applyFont="1" applyFill="1" applyBorder="1"/>
    <xf numFmtId="3" fontId="0" fillId="4" borderId="1" xfId="0" applyNumberFormat="1" applyFill="1" applyBorder="1"/>
    <xf numFmtId="0" fontId="4" fillId="4" borderId="1" xfId="0" applyFont="1" applyFill="1" applyBorder="1"/>
    <xf numFmtId="0" fontId="0" fillId="8" borderId="1" xfId="0" applyFill="1" applyBorder="1"/>
    <xf numFmtId="10" fontId="0" fillId="8" borderId="1" xfId="1" applyNumberFormat="1" applyFont="1" applyFill="1" applyBorder="1"/>
    <xf numFmtId="10" fontId="0" fillId="4" borderId="1" xfId="1" applyNumberFormat="1" applyFont="1" applyFill="1" applyBorder="1"/>
    <xf numFmtId="0" fontId="3" fillId="8" borderId="1" xfId="0" applyFont="1" applyFill="1" applyBorder="1"/>
    <xf numFmtId="0" fontId="7" fillId="0" borderId="0" xfId="0" applyFont="1"/>
    <xf numFmtId="0" fontId="6" fillId="9" borderId="1" xfId="0" applyFont="1" applyFill="1" applyBorder="1"/>
    <xf numFmtId="164" fontId="0" fillId="4" borderId="1" xfId="0" applyNumberFormat="1" applyFill="1" applyBorder="1"/>
    <xf numFmtId="4" fontId="0" fillId="4" borderId="1" xfId="0" applyNumberFormat="1" applyFill="1" applyBorder="1"/>
    <xf numFmtId="2" fontId="9" fillId="4" borderId="1" xfId="0" applyNumberFormat="1" applyFont="1" applyFill="1" applyBorder="1"/>
    <xf numFmtId="3" fontId="3" fillId="0" borderId="0" xfId="0" applyNumberFormat="1" applyFont="1"/>
    <xf numFmtId="0" fontId="6" fillId="0" borderId="0" xfId="0" applyFont="1"/>
    <xf numFmtId="14" fontId="0" fillId="0" borderId="0" xfId="0" applyNumberFormat="1" applyAlignment="1">
      <alignment horizontal="left" indent="1"/>
    </xf>
    <xf numFmtId="0" fontId="0" fillId="4" borderId="0" xfId="0" applyFill="1" applyAlignment="1">
      <alignment wrapText="1"/>
    </xf>
    <xf numFmtId="0" fontId="5" fillId="5" borderId="0" xfId="0" applyFont="1" applyFill="1" applyAlignment="1">
      <alignment horizontal="center"/>
    </xf>
    <xf numFmtId="0" fontId="6" fillId="2" borderId="0" xfId="0" applyFont="1" applyFill="1" applyAlignment="1">
      <alignment horizontal="center"/>
    </xf>
    <xf numFmtId="0" fontId="8" fillId="2" borderId="0" xfId="0" applyFont="1" applyFill="1" applyAlignment="1">
      <alignment horizontal="center"/>
    </xf>
    <xf numFmtId="0" fontId="10" fillId="5" borderId="0" xfId="0" applyFont="1" applyFill="1" applyAlignment="1">
      <alignment horizontal="center"/>
    </xf>
    <xf numFmtId="0" fontId="0" fillId="3" borderId="0" xfId="0" applyFill="1" applyAlignment="1">
      <alignment horizontal="center" vertical="center"/>
    </xf>
    <xf numFmtId="0" fontId="0" fillId="3" borderId="0" xfId="0" applyFill="1" applyAlignment="1">
      <alignment horizontal="left" vertical="center" wrapText="1"/>
    </xf>
    <xf numFmtId="0" fontId="6" fillId="2" borderId="0" xfId="0" applyFont="1" applyFill="1" applyAlignment="1">
      <alignment horizontal="center" vertical="center"/>
    </xf>
    <xf numFmtId="0" fontId="5" fillId="5" borderId="2" xfId="0" applyFont="1" applyFill="1" applyBorder="1" applyAlignment="1">
      <alignment horizontal="center"/>
    </xf>
    <xf numFmtId="0" fontId="7" fillId="5" borderId="0" xfId="0" applyFont="1" applyFill="1" applyAlignment="1">
      <alignment horizontal="center"/>
    </xf>
  </cellXfs>
  <cellStyles count="2">
    <cellStyle name="Normal" xfId="0" builtinId="0"/>
    <cellStyle name="Porcentaje" xfId="1" builtinId="5"/>
  </cellStyles>
  <dxfs count="0"/>
  <tableStyles count="0" defaultTableStyle="TableStyleMedium2" defaultPivotStyle="PivotStyleLight16"/>
  <colors>
    <mruColors>
      <color rgb="FFCC0099"/>
      <color rgb="FFFF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1400" b="0" i="0" u="none" strike="noStrike" baseline="0"/>
              <a:t>Presión vs. etapa de producción</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'02_PVT'!$A$4:$A$9</c:f>
              <c:numCache>
                <c:formatCode>General</c:formatCode>
                <c:ptCount val="6"/>
                <c:pt idx="0">
                  <c:v>0</c:v>
                </c:pt>
                <c:pt idx="1">
                  <c:v>2</c:v>
                </c:pt>
                <c:pt idx="2">
                  <c:v>5</c:v>
                </c:pt>
                <c:pt idx="3">
                  <c:v>6</c:v>
                </c:pt>
                <c:pt idx="4">
                  <c:v>7</c:v>
                </c:pt>
                <c:pt idx="5">
                  <c:v>8</c:v>
                </c:pt>
              </c:numCache>
            </c:numRef>
          </c:xVal>
          <c:yVal>
            <c:numRef>
              <c:f>'02_PVT'!$B$4:$B$9</c:f>
              <c:numCache>
                <c:formatCode>General</c:formatCode>
                <c:ptCount val="6"/>
                <c:pt idx="0">
                  <c:v>320</c:v>
                </c:pt>
                <c:pt idx="1">
                  <c:v>260</c:v>
                </c:pt>
                <c:pt idx="2">
                  <c:v>200</c:v>
                </c:pt>
                <c:pt idx="3">
                  <c:v>170</c:v>
                </c:pt>
                <c:pt idx="4">
                  <c:v>135</c:v>
                </c:pt>
                <c:pt idx="5">
                  <c:v>100</c:v>
                </c:pt>
              </c:numCache>
            </c:numRef>
          </c:yVal>
          <c:smooth val="1"/>
          <c:extLst>
            <c:ext xmlns:c16="http://schemas.microsoft.com/office/drawing/2014/chart" uri="{C3380CC4-5D6E-409C-BE32-E72D297353CC}">
              <c16:uniqueId val="{00000000-FA07-4D51-98F7-4C53969B27DF}"/>
            </c:ext>
          </c:extLst>
        </c:ser>
        <c:dLbls>
          <c:showLegendKey val="0"/>
          <c:showVal val="0"/>
          <c:showCatName val="0"/>
          <c:showSerName val="0"/>
          <c:showPercent val="0"/>
          <c:showBubbleSize val="0"/>
        </c:dLbls>
        <c:axId val="1173055871"/>
        <c:axId val="1202792271"/>
      </c:scatterChart>
      <c:valAx>
        <c:axId val="11730558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sz="1000" b="0" i="0" u="none" strike="noStrike" baseline="0"/>
                  <a:t>Etapa de producción</a:t>
                </a:r>
                <a:endParaRPr lang="es-MX"/>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202792271"/>
        <c:crosses val="autoZero"/>
        <c:crossBetween val="midCat"/>
      </c:valAx>
      <c:valAx>
        <c:axId val="12027922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Presión (kg/cm²(a))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1730558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1400" b="0" i="0" u="none" strike="noStrike" baseline="0"/>
              <a:t>Factor volumétrico del petróleo (Bo) vs. presión</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'02_PVT'!$B$4:$B$9</c:f>
              <c:numCache>
                <c:formatCode>General</c:formatCode>
                <c:ptCount val="6"/>
                <c:pt idx="0">
                  <c:v>320</c:v>
                </c:pt>
                <c:pt idx="1">
                  <c:v>260</c:v>
                </c:pt>
                <c:pt idx="2">
                  <c:v>200</c:v>
                </c:pt>
                <c:pt idx="3">
                  <c:v>170</c:v>
                </c:pt>
                <c:pt idx="4">
                  <c:v>135</c:v>
                </c:pt>
                <c:pt idx="5">
                  <c:v>100</c:v>
                </c:pt>
              </c:numCache>
            </c:numRef>
          </c:xVal>
          <c:yVal>
            <c:numRef>
              <c:f>'02_PVT'!$C$4:$C$9</c:f>
              <c:numCache>
                <c:formatCode>General</c:formatCode>
                <c:ptCount val="6"/>
                <c:pt idx="0">
                  <c:v>1.37</c:v>
                </c:pt>
                <c:pt idx="1">
                  <c:v>1.3819999999999999</c:v>
                </c:pt>
                <c:pt idx="2">
                  <c:v>1.395</c:v>
                </c:pt>
                <c:pt idx="3">
                  <c:v>1.36</c:v>
                </c:pt>
                <c:pt idx="4">
                  <c:v>1.32</c:v>
                </c:pt>
                <c:pt idx="5">
                  <c:v>1.28</c:v>
                </c:pt>
              </c:numCache>
            </c:numRef>
          </c:yVal>
          <c:smooth val="1"/>
          <c:extLst>
            <c:ext xmlns:c16="http://schemas.microsoft.com/office/drawing/2014/chart" uri="{C3380CC4-5D6E-409C-BE32-E72D297353CC}">
              <c16:uniqueId val="{00000000-CE25-4C0D-B908-E747487A001C}"/>
            </c:ext>
          </c:extLst>
        </c:ser>
        <c:dLbls>
          <c:showLegendKey val="0"/>
          <c:showVal val="0"/>
          <c:showCatName val="0"/>
          <c:showSerName val="0"/>
          <c:showPercent val="0"/>
          <c:showBubbleSize val="0"/>
        </c:dLbls>
        <c:axId val="1261007919"/>
        <c:axId val="1202773071"/>
      </c:scatterChart>
      <c:valAx>
        <c:axId val="12610079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sz="1000" b="0" i="0" u="none" strike="noStrike" baseline="0"/>
                  <a:t>Presión (kg/cm²(a))</a:t>
                </a:r>
                <a:endParaRPr lang="es-MX"/>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202773071"/>
        <c:crosses val="autoZero"/>
        <c:crossBetween val="midCat"/>
      </c:valAx>
      <c:valAx>
        <c:axId val="12027730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sz="1000" b="0" i="0" u="none" strike="noStrike" baseline="0"/>
                  <a:t>Bo (m³/m³)</a:t>
                </a:r>
                <a:endParaRPr lang="es-MX"/>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26100791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Presión</a:t>
            </a:r>
            <a:r>
              <a:rPr lang="en-US" baseline="0"/>
              <a:t> vs. etapa de producción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'03_HISTORIAL'!$B$3</c:f>
              <c:strCache>
                <c:ptCount val="1"/>
                <c:pt idx="0">
                  <c:v>P kg/cm²(a)</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Pt>
            <c:idx val="2"/>
            <c:marker>
              <c:symbol val="circle"/>
              <c:size val="5"/>
              <c:spPr>
                <a:solidFill>
                  <a:schemeClr val="accent1"/>
                </a:solidFill>
                <a:ln w="9525">
                  <a:solidFill>
                    <a:schemeClr val="accent1"/>
                  </a:solidFill>
                </a:ln>
                <a:effectLst/>
              </c:spPr>
            </c:marker>
            <c:bubble3D val="0"/>
            <c:spPr>
              <a:ln w="19050" cap="rnd">
                <a:solidFill>
                  <a:schemeClr val="accent1"/>
                </a:solidFill>
                <a:round/>
              </a:ln>
              <a:effectLst/>
            </c:spPr>
            <c:extLst>
              <c:ext xmlns:c16="http://schemas.microsoft.com/office/drawing/2014/chart" uri="{C3380CC4-5D6E-409C-BE32-E72D297353CC}">
                <c16:uniqueId val="{00000001-09B9-46F0-99AB-846B0A3546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'03_HISTORIAL'!$A$4:$A$9</c:f>
              <c:numCache>
                <c:formatCode>General</c:formatCode>
                <c:ptCount val="6"/>
                <c:pt idx="0">
                  <c:v>0</c:v>
                </c:pt>
                <c:pt idx="1">
                  <c:v>2</c:v>
                </c:pt>
                <c:pt idx="2">
                  <c:v>5</c:v>
                </c:pt>
                <c:pt idx="3">
                  <c:v>6</c:v>
                </c:pt>
                <c:pt idx="4">
                  <c:v>7</c:v>
                </c:pt>
                <c:pt idx="5">
                  <c:v>8</c:v>
                </c:pt>
              </c:numCache>
            </c:numRef>
          </c:xVal>
          <c:yVal>
            <c:numRef>
              <c:f>'03_HISTORIAL'!$B$4:$B$9</c:f>
              <c:numCache>
                <c:formatCode>General</c:formatCode>
                <c:ptCount val="6"/>
                <c:pt idx="0">
                  <c:v>320</c:v>
                </c:pt>
                <c:pt idx="1">
                  <c:v>260</c:v>
                </c:pt>
                <c:pt idx="2">
                  <c:v>200</c:v>
                </c:pt>
                <c:pt idx="3">
                  <c:v>170</c:v>
                </c:pt>
                <c:pt idx="4">
                  <c:v>135</c:v>
                </c:pt>
                <c:pt idx="5">
                  <c:v>100</c:v>
                </c:pt>
              </c:numCache>
            </c:numRef>
          </c:yVal>
          <c:smooth val="1"/>
          <c:extLst>
            <c:ext xmlns:c16="http://schemas.microsoft.com/office/drawing/2014/chart" uri="{C3380CC4-5D6E-409C-BE32-E72D297353CC}">
              <c16:uniqueId val="{00000000-09B9-46F0-99AB-846B0A3546CA}"/>
            </c:ext>
          </c:extLst>
        </c:ser>
        <c:dLbls>
          <c:dLblPos val="r"/>
          <c:showLegendKey val="0"/>
          <c:showVal val="1"/>
          <c:showCatName val="1"/>
          <c:showSerName val="0"/>
          <c:showPercent val="0"/>
          <c:showBubbleSize val="0"/>
        </c:dLbls>
        <c:axId val="948448975"/>
        <c:axId val="852085199"/>
      </c:scatterChart>
      <c:valAx>
        <c:axId val="9484489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Etapa de producción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852085199"/>
        <c:crosses val="autoZero"/>
        <c:crossBetween val="midCat"/>
      </c:valAx>
      <c:valAx>
        <c:axId val="852085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Presión (kg/</a:t>
                </a:r>
                <a:r>
                  <a:rPr lang="es-MX" sz="1000" b="0" i="0" u="none" strike="noStrike" baseline="0"/>
                  <a:t>cm²(a))</a:t>
                </a:r>
                <a:endParaRPr lang="es-MX"/>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9484489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Np acumulado</a:t>
            </a:r>
            <a:r>
              <a:rPr lang="en-US" baseline="0"/>
              <a:t> vs. etapa de producción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'03_HISTORIAL'!$C$3</c:f>
              <c:strCache>
                <c:ptCount val="1"/>
                <c:pt idx="0">
                  <c:v>Np m³</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19050" cap="rnd">
                <a:solidFill>
                  <a:schemeClr val="accent1"/>
                </a:solidFill>
                <a:round/>
              </a:ln>
              <a:effectLst/>
            </c:spPr>
            <c:extLst>
              <c:ext xmlns:c16="http://schemas.microsoft.com/office/drawing/2014/chart" uri="{C3380CC4-5D6E-409C-BE32-E72D297353CC}">
                <c16:uniqueId val="{00000002-F125-4D23-BDC6-C69409703C9E}"/>
              </c:ext>
            </c:extLst>
          </c:dPt>
          <c:dPt>
            <c:idx val="3"/>
            <c:marker>
              <c:symbol val="circle"/>
              <c:size val="5"/>
              <c:spPr>
                <a:solidFill>
                  <a:schemeClr val="accent1"/>
                </a:solidFill>
                <a:ln w="9525">
                  <a:solidFill>
                    <a:schemeClr val="accent1"/>
                  </a:solidFill>
                </a:ln>
                <a:effectLst/>
              </c:spPr>
            </c:marker>
            <c:bubble3D val="0"/>
            <c:spPr>
              <a:ln w="19050" cap="rnd">
                <a:solidFill>
                  <a:schemeClr val="accent1"/>
                </a:solidFill>
                <a:round/>
              </a:ln>
              <a:effectLst/>
            </c:spPr>
            <c:extLst>
              <c:ext xmlns:c16="http://schemas.microsoft.com/office/drawing/2014/chart" uri="{C3380CC4-5D6E-409C-BE32-E72D297353CC}">
                <c16:uniqueId val="{00000001-F125-4D23-BDC6-C69409703C9E}"/>
              </c:ext>
            </c:extLst>
          </c:dPt>
          <c:xVal>
            <c:numRef>
              <c:f>'03_HISTORIAL'!$A$4:$A$9</c:f>
              <c:numCache>
                <c:formatCode>General</c:formatCode>
                <c:ptCount val="6"/>
                <c:pt idx="0">
                  <c:v>0</c:v>
                </c:pt>
                <c:pt idx="1">
                  <c:v>2</c:v>
                </c:pt>
                <c:pt idx="2">
                  <c:v>5</c:v>
                </c:pt>
                <c:pt idx="3">
                  <c:v>6</c:v>
                </c:pt>
                <c:pt idx="4">
                  <c:v>7</c:v>
                </c:pt>
                <c:pt idx="5">
                  <c:v>8</c:v>
                </c:pt>
              </c:numCache>
            </c:numRef>
          </c:xVal>
          <c:yVal>
            <c:numRef>
              <c:f>'03_HISTORIAL'!$C$4:$C$9</c:f>
              <c:numCache>
                <c:formatCode>General</c:formatCode>
                <c:ptCount val="6"/>
                <c:pt idx="0">
                  <c:v>0</c:v>
                </c:pt>
                <c:pt idx="1">
                  <c:v>2500</c:v>
                </c:pt>
                <c:pt idx="2">
                  <c:v>6200</c:v>
                </c:pt>
                <c:pt idx="3">
                  <c:v>9000</c:v>
                </c:pt>
                <c:pt idx="4">
                  <c:v>12500</c:v>
                </c:pt>
                <c:pt idx="5">
                  <c:v>15500</c:v>
                </c:pt>
              </c:numCache>
            </c:numRef>
          </c:yVal>
          <c:smooth val="1"/>
          <c:extLst>
            <c:ext xmlns:c16="http://schemas.microsoft.com/office/drawing/2014/chart" uri="{C3380CC4-5D6E-409C-BE32-E72D297353CC}">
              <c16:uniqueId val="{00000000-F125-4D23-BDC6-C69409703C9E}"/>
            </c:ext>
          </c:extLst>
        </c:ser>
        <c:dLbls>
          <c:showLegendKey val="0"/>
          <c:showVal val="0"/>
          <c:showCatName val="0"/>
          <c:showSerName val="0"/>
          <c:showPercent val="0"/>
          <c:showBubbleSize val="0"/>
        </c:dLbls>
        <c:axId val="954403247"/>
        <c:axId val="852155759"/>
      </c:scatterChart>
      <c:valAx>
        <c:axId val="954403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Etapa de producción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852155759"/>
        <c:crosses val="autoZero"/>
        <c:crossBetween val="midCat"/>
      </c:valAx>
      <c:valAx>
        <c:axId val="8521557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Np acumulado (</a:t>
                </a:r>
                <a:r>
                  <a:rPr lang="en-US" sz="800" b="0" i="0" u="none" strike="noStrike" kern="1200" baseline="0">
                    <a:solidFill>
                      <a:sysClr val="windowText" lastClr="000000">
                        <a:lumMod val="65000"/>
                        <a:lumOff val="35000"/>
                      </a:sysClr>
                    </a:solidFill>
                  </a:rPr>
                  <a:t>m³)</a:t>
                </a:r>
                <a:endParaRPr lang="es-MX"/>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9544032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Rp vs.</a:t>
            </a:r>
            <a:r>
              <a:rPr lang="es-MX" baseline="0"/>
              <a:t> etapa de producción</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scatterChart>
        <c:scatterStyle val="lineMarker"/>
        <c:varyColors val="0"/>
        <c:ser>
          <c:idx val="0"/>
          <c:order val="0"/>
          <c:tx>
            <c:strRef>
              <c:f>'03_HISTORIAL'!$F$3:$F$4</c:f>
              <c:strCache>
                <c:ptCount val="2"/>
                <c:pt idx="0">
                  <c:v>Rp m³/m³</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19050" cap="rnd">
                <a:solidFill>
                  <a:schemeClr val="accent1"/>
                </a:solidFill>
                <a:round/>
              </a:ln>
              <a:effectLst/>
            </c:spPr>
            <c:extLst>
              <c:ext xmlns:c16="http://schemas.microsoft.com/office/drawing/2014/chart" uri="{C3380CC4-5D6E-409C-BE32-E72D297353CC}">
                <c16:uniqueId val="{00000004-D7E8-4FEA-9BB6-ACBDF433A983}"/>
              </c:ext>
            </c:extLst>
          </c:dPt>
          <c:xVal>
            <c:numRef>
              <c:f>'03_HISTORIAL'!$A$5:$A$9</c:f>
              <c:numCache>
                <c:formatCode>General</c:formatCode>
                <c:ptCount val="5"/>
                <c:pt idx="0">
                  <c:v>2</c:v>
                </c:pt>
                <c:pt idx="1">
                  <c:v>5</c:v>
                </c:pt>
                <c:pt idx="2">
                  <c:v>6</c:v>
                </c:pt>
                <c:pt idx="3">
                  <c:v>7</c:v>
                </c:pt>
                <c:pt idx="4">
                  <c:v>8</c:v>
                </c:pt>
              </c:numCache>
            </c:numRef>
          </c:xVal>
          <c:yVal>
            <c:numRef>
              <c:f>'03_HISTORIAL'!$F$5:$F$9</c:f>
              <c:numCache>
                <c:formatCode>General</c:formatCode>
                <c:ptCount val="5"/>
                <c:pt idx="0">
                  <c:v>128</c:v>
                </c:pt>
                <c:pt idx="1">
                  <c:v>128</c:v>
                </c:pt>
                <c:pt idx="2">
                  <c:v>135</c:v>
                </c:pt>
                <c:pt idx="3">
                  <c:v>145</c:v>
                </c:pt>
                <c:pt idx="4">
                  <c:v>160</c:v>
                </c:pt>
              </c:numCache>
            </c:numRef>
          </c:yVal>
          <c:smooth val="1"/>
          <c:extLst>
            <c:ext xmlns:c16="http://schemas.microsoft.com/office/drawing/2014/chart" uri="{C3380CC4-5D6E-409C-BE32-E72D297353CC}">
              <c16:uniqueId val="{00000000-D7E8-4FEA-9BB6-ACBDF433A983}"/>
            </c:ext>
          </c:extLst>
        </c:ser>
        <c:dLbls>
          <c:showLegendKey val="0"/>
          <c:showVal val="0"/>
          <c:showCatName val="0"/>
          <c:showSerName val="0"/>
          <c:showPercent val="0"/>
          <c:showBubbleSize val="0"/>
        </c:dLbls>
        <c:axId val="1021941567"/>
        <c:axId val="852135119"/>
      </c:scatterChart>
      <c:valAx>
        <c:axId val="1021941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Etapa</a:t>
                </a:r>
                <a:r>
                  <a:rPr lang="es-MX" baseline="0"/>
                  <a:t> de producción</a:t>
                </a:r>
                <a:endParaRPr lang="es-MX"/>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852135119"/>
        <c:crosses val="autoZero"/>
        <c:crossBetween val="midCat"/>
      </c:valAx>
      <c:valAx>
        <c:axId val="8521351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Rp (</a:t>
                </a:r>
                <a:r>
                  <a:rPr lang="en-US" sz="1000" b="0" i="0" u="none" strike="noStrike" kern="1200" baseline="0">
                    <a:solidFill>
                      <a:sysClr val="windowText" lastClr="000000">
                        <a:lumMod val="65000"/>
                        <a:lumOff val="35000"/>
                      </a:sysClr>
                    </a:solidFill>
                  </a:rPr>
                  <a:t>m³/m³)</a:t>
                </a:r>
                <a:r>
                  <a:rPr lang="en-US"/>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02194156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Expansión del sistema (Eo) vs. presión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scatterChart>
        <c:scatterStyle val="smoothMarker"/>
        <c:varyColors val="0"/>
        <c:ser>
          <c:idx val="0"/>
          <c:order val="0"/>
          <c:tx>
            <c:strRef>
              <c:f>'04_EXPANSION'!$L$2</c:f>
              <c:strCache>
                <c:ptCount val="1"/>
                <c:pt idx="0">
                  <c:v>Eo m³/m³</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'04_EXPANSION'!$B$3:$B$8</c:f>
              <c:numCache>
                <c:formatCode>General</c:formatCode>
                <c:ptCount val="6"/>
                <c:pt idx="0">
                  <c:v>320</c:v>
                </c:pt>
                <c:pt idx="1">
                  <c:v>260</c:v>
                </c:pt>
                <c:pt idx="2">
                  <c:v>200</c:v>
                </c:pt>
                <c:pt idx="3">
                  <c:v>170</c:v>
                </c:pt>
                <c:pt idx="4">
                  <c:v>135</c:v>
                </c:pt>
                <c:pt idx="5">
                  <c:v>100</c:v>
                </c:pt>
              </c:numCache>
            </c:numRef>
          </c:xVal>
          <c:yVal>
            <c:numRef>
              <c:f>'04_EXPANSION'!$L$3:$L$8</c:f>
              <c:numCache>
                <c:formatCode>General</c:formatCode>
                <c:ptCount val="6"/>
                <c:pt idx="0">
                  <c:v>0</c:v>
                </c:pt>
                <c:pt idx="1">
                  <c:v>1.1999999999999789E-2</c:v>
                </c:pt>
                <c:pt idx="2">
                  <c:v>2.4999999999999911E-2</c:v>
                </c:pt>
                <c:pt idx="3">
                  <c:v>8.7599999999999997E-2</c:v>
                </c:pt>
                <c:pt idx="4">
                  <c:v>0.20669999999999994</c:v>
                </c:pt>
                <c:pt idx="5">
                  <c:v>0.42479999999999996</c:v>
                </c:pt>
              </c:numCache>
            </c:numRef>
          </c:yVal>
          <c:smooth val="1"/>
          <c:extLst>
            <c:ext xmlns:c16="http://schemas.microsoft.com/office/drawing/2014/chart" uri="{C3380CC4-5D6E-409C-BE32-E72D297353CC}">
              <c16:uniqueId val="{00000000-34C2-47B3-A7CF-23C958FE2C9E}"/>
            </c:ext>
          </c:extLst>
        </c:ser>
        <c:dLbls>
          <c:showLegendKey val="0"/>
          <c:showVal val="0"/>
          <c:showCatName val="0"/>
          <c:showSerName val="0"/>
          <c:showPercent val="0"/>
          <c:showBubbleSize val="0"/>
        </c:dLbls>
        <c:axId val="1937293647"/>
        <c:axId val="1997760783"/>
      </c:scatterChart>
      <c:valAx>
        <c:axId val="19372936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Presión (kg/</a:t>
                </a:r>
                <a:r>
                  <a:rPr lang="es-MX" sz="1000" b="0" i="0" u="none" strike="noStrike" baseline="0"/>
                  <a:t>cm²(a))</a:t>
                </a:r>
                <a:endParaRPr lang="es-MX"/>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997760783"/>
        <c:crosses val="autoZero"/>
        <c:crossBetween val="midCat"/>
      </c:valAx>
      <c:valAx>
        <c:axId val="19977607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spc="0" baseline="0">
                    <a:solidFill>
                      <a:sysClr val="windowText" lastClr="000000">
                        <a:lumMod val="65000"/>
                        <a:lumOff val="35000"/>
                      </a:sysClr>
                    </a:solidFill>
                  </a:rPr>
                  <a:t>Eo m³/m³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9372936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Entrada de agua (We)</a:t>
            </a:r>
            <a:r>
              <a:rPr lang="es-MX" baseline="0"/>
              <a:t> y retiro subterráneo (F) por etapa</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scatterChart>
        <c:scatterStyle val="smoothMarker"/>
        <c:varyColors val="0"/>
        <c:ser>
          <c:idx val="0"/>
          <c:order val="0"/>
          <c:tx>
            <c:strRef>
              <c:f>'05_RETIRO'!$B$11</c:f>
              <c:strCache>
                <c:ptCount val="1"/>
                <c:pt idx="0">
                  <c:v>We (m³)</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'05_RETIRO'!$A$12:$A$17</c:f>
              <c:numCache>
                <c:formatCode>General</c:formatCode>
                <c:ptCount val="6"/>
                <c:pt idx="0">
                  <c:v>0</c:v>
                </c:pt>
                <c:pt idx="1">
                  <c:v>2</c:v>
                </c:pt>
                <c:pt idx="2">
                  <c:v>5</c:v>
                </c:pt>
                <c:pt idx="3">
                  <c:v>6</c:v>
                </c:pt>
                <c:pt idx="4">
                  <c:v>7</c:v>
                </c:pt>
                <c:pt idx="5">
                  <c:v>8</c:v>
                </c:pt>
              </c:numCache>
            </c:numRef>
          </c:xVal>
          <c:yVal>
            <c:numRef>
              <c:f>'05_RETIRO'!$B$12:$B$17</c:f>
              <c:numCache>
                <c:formatCode>General</c:formatCode>
                <c:ptCount val="6"/>
                <c:pt idx="0">
                  <c:v>0</c:v>
                </c:pt>
                <c:pt idx="1">
                  <c:v>6000</c:v>
                </c:pt>
                <c:pt idx="2">
                  <c:v>12000</c:v>
                </c:pt>
                <c:pt idx="3">
                  <c:v>15000</c:v>
                </c:pt>
                <c:pt idx="4">
                  <c:v>18500</c:v>
                </c:pt>
                <c:pt idx="5">
                  <c:v>22000</c:v>
                </c:pt>
              </c:numCache>
            </c:numRef>
          </c:yVal>
          <c:smooth val="1"/>
          <c:extLst>
            <c:ext xmlns:c16="http://schemas.microsoft.com/office/drawing/2014/chart" uri="{C3380CC4-5D6E-409C-BE32-E72D297353CC}">
              <c16:uniqueId val="{00000000-B7EE-467D-9B17-8A31F0F7EA37}"/>
            </c:ext>
          </c:extLst>
        </c:ser>
        <c:ser>
          <c:idx val="1"/>
          <c:order val="1"/>
          <c:tx>
            <c:strRef>
              <c:f>'05_RETIRO'!$C$11</c:f>
              <c:strCache>
                <c:ptCount val="1"/>
                <c:pt idx="0">
                  <c:v>F (m³)</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'05_RETIRO'!$A$12:$A$17</c:f>
              <c:numCache>
                <c:formatCode>General</c:formatCode>
                <c:ptCount val="6"/>
                <c:pt idx="0">
                  <c:v>0</c:v>
                </c:pt>
                <c:pt idx="1">
                  <c:v>2</c:v>
                </c:pt>
                <c:pt idx="2">
                  <c:v>5</c:v>
                </c:pt>
                <c:pt idx="3">
                  <c:v>6</c:v>
                </c:pt>
                <c:pt idx="4">
                  <c:v>7</c:v>
                </c:pt>
                <c:pt idx="5">
                  <c:v>8</c:v>
                </c:pt>
              </c:numCache>
            </c:numRef>
          </c:xVal>
          <c:yVal>
            <c:numRef>
              <c:f>'05_RETIRO'!$C$12:$C$17</c:f>
              <c:numCache>
                <c:formatCode>0.000</c:formatCode>
                <c:ptCount val="6"/>
                <c:pt idx="0">
                  <c:v>0</c:v>
                </c:pt>
                <c:pt idx="1">
                  <c:v>3638.5999999999995</c:v>
                </c:pt>
                <c:pt idx="2">
                  <c:v>9169.2000000000007</c:v>
                </c:pt>
                <c:pt idx="3">
                  <c:v>14369.7</c:v>
                </c:pt>
                <c:pt idx="4">
                  <c:v>22690.125</c:v>
                </c:pt>
                <c:pt idx="5">
                  <c:v>34820.800000000003</c:v>
                </c:pt>
              </c:numCache>
            </c:numRef>
          </c:yVal>
          <c:smooth val="1"/>
          <c:extLst>
            <c:ext xmlns:c16="http://schemas.microsoft.com/office/drawing/2014/chart" uri="{C3380CC4-5D6E-409C-BE32-E72D297353CC}">
              <c16:uniqueId val="{00000001-B7EE-467D-9B17-8A31F0F7EA37}"/>
            </c:ext>
          </c:extLst>
        </c:ser>
        <c:dLbls>
          <c:showLegendKey val="0"/>
          <c:showVal val="0"/>
          <c:showCatName val="0"/>
          <c:showSerName val="0"/>
          <c:showPercent val="0"/>
          <c:showBubbleSize val="0"/>
        </c:dLbls>
        <c:axId val="259589840"/>
        <c:axId val="11665616"/>
      </c:scatterChart>
      <c:valAx>
        <c:axId val="2595898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Etapa de producción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1665616"/>
        <c:crosses val="autoZero"/>
        <c:crossBetween val="midCat"/>
      </c:valAx>
      <c:valAx>
        <c:axId val="11665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Volumen acumulado (</a:t>
                </a:r>
                <a:r>
                  <a:rPr lang="es-MX" sz="1000" b="0" i="0" u="none" strike="noStrike" baseline="0"/>
                  <a:t>m³)</a:t>
                </a:r>
                <a:endParaRPr lang="es-MX"/>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25958984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10</xdr:col>
      <xdr:colOff>386219</xdr:colOff>
      <xdr:row>0</xdr:row>
      <xdr:rowOff>183715</xdr:rowOff>
    </xdr:from>
    <xdr:to>
      <xdr:col>16</xdr:col>
      <xdr:colOff>198329</xdr:colOff>
      <xdr:row>15</xdr:row>
      <xdr:rowOff>108559</xdr:rowOff>
    </xdr:to>
    <xdr:graphicFrame macro="">
      <xdr:nvGraphicFramePr>
        <xdr:cNvPr id="2" name="Gráfico 1">
          <a:extLst>
            <a:ext uri="{FF2B5EF4-FFF2-40B4-BE49-F238E27FC236}">
              <a16:creationId xmlns:a16="http://schemas.microsoft.com/office/drawing/2014/main" id="{F623E218-FE96-5CF0-CFFD-5868D84400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375781</xdr:colOff>
      <xdr:row>16</xdr:row>
      <xdr:rowOff>183715</xdr:rowOff>
    </xdr:from>
    <xdr:to>
      <xdr:col>16</xdr:col>
      <xdr:colOff>187891</xdr:colOff>
      <xdr:row>31</xdr:row>
      <xdr:rowOff>108559</xdr:rowOff>
    </xdr:to>
    <xdr:graphicFrame macro="">
      <xdr:nvGraphicFramePr>
        <xdr:cNvPr id="4" name="Gráfico 3">
          <a:extLst>
            <a:ext uri="{FF2B5EF4-FFF2-40B4-BE49-F238E27FC236}">
              <a16:creationId xmlns:a16="http://schemas.microsoft.com/office/drawing/2014/main" id="{94DA8E18-BADF-71B9-276C-EF48A75DC0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53340</xdr:colOff>
      <xdr:row>0</xdr:row>
      <xdr:rowOff>171450</xdr:rowOff>
    </xdr:from>
    <xdr:to>
      <xdr:col>18</xdr:col>
      <xdr:colOff>662940</xdr:colOff>
      <xdr:row>15</xdr:row>
      <xdr:rowOff>171450</xdr:rowOff>
    </xdr:to>
    <xdr:graphicFrame macro="">
      <xdr:nvGraphicFramePr>
        <xdr:cNvPr id="2" name="Gráfico 1">
          <a:extLst>
            <a:ext uri="{FF2B5EF4-FFF2-40B4-BE49-F238E27FC236}">
              <a16:creationId xmlns:a16="http://schemas.microsoft.com/office/drawing/2014/main" id="{75F8F98F-47FA-4E35-7D2E-4081CA1542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472440</xdr:colOff>
      <xdr:row>0</xdr:row>
      <xdr:rowOff>171450</xdr:rowOff>
    </xdr:from>
    <xdr:to>
      <xdr:col>25</xdr:col>
      <xdr:colOff>22860</xdr:colOff>
      <xdr:row>15</xdr:row>
      <xdr:rowOff>129540</xdr:rowOff>
    </xdr:to>
    <xdr:graphicFrame macro="">
      <xdr:nvGraphicFramePr>
        <xdr:cNvPr id="3" name="Gráfico 2">
          <a:extLst>
            <a:ext uri="{FF2B5EF4-FFF2-40B4-BE49-F238E27FC236}">
              <a16:creationId xmlns:a16="http://schemas.microsoft.com/office/drawing/2014/main" id="{94A0730F-7D9E-0BC6-7A8C-A58537D754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693420</xdr:colOff>
      <xdr:row>17</xdr:row>
      <xdr:rowOff>11430</xdr:rowOff>
    </xdr:from>
    <xdr:to>
      <xdr:col>20</xdr:col>
      <xdr:colOff>510540</xdr:colOff>
      <xdr:row>32</xdr:row>
      <xdr:rowOff>11430</xdr:rowOff>
    </xdr:to>
    <xdr:graphicFrame macro="">
      <xdr:nvGraphicFramePr>
        <xdr:cNvPr id="4" name="Gráfico 3">
          <a:extLst>
            <a:ext uri="{FF2B5EF4-FFF2-40B4-BE49-F238E27FC236}">
              <a16:creationId xmlns:a16="http://schemas.microsoft.com/office/drawing/2014/main" id="{B1F01A07-F8F5-DA73-71E3-97C97F8608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16</xdr:row>
      <xdr:rowOff>1</xdr:rowOff>
    </xdr:from>
    <xdr:to>
      <xdr:col>6</xdr:col>
      <xdr:colOff>0</xdr:colOff>
      <xdr:row>26</xdr:row>
      <xdr:rowOff>8467</xdr:rowOff>
    </xdr:to>
    <xdr:sp macro="" textlink="">
      <xdr:nvSpPr>
        <xdr:cNvPr id="5" name="CuadroTexto 4">
          <a:extLst>
            <a:ext uri="{FF2B5EF4-FFF2-40B4-BE49-F238E27FC236}">
              <a16:creationId xmlns:a16="http://schemas.microsoft.com/office/drawing/2014/main" id="{203BFA8F-0DBC-2749-3701-DB0954CC2919}"/>
            </a:ext>
          </a:extLst>
        </xdr:cNvPr>
        <xdr:cNvSpPr txBox="1"/>
      </xdr:nvSpPr>
      <xdr:spPr>
        <a:xfrm>
          <a:off x="0" y="2980268"/>
          <a:ext cx="5604933" cy="187113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a:t>Durante el historial de producción, la presión del yacimiento disminuyó de 320 a 100 kg/cm²(a), lo que representa un agotamiento progresivo de la energía del yacimiento. Al mismo tiempo, la producción acumulada de petróleo (Np) aumentó hasta 15,500 m³, mientras que la producción acumulada de gas (Gp) alcanzó 2,480,000 m³ y la de agua (Wp) llegó a 2,050 m³.</a:t>
          </a:r>
        </a:p>
        <a:p>
          <a:r>
            <a:rPr lang="es-MX"/>
            <a:t>La relación gas-petróleo producida acumulada (Rp) se mantuvo inicialmente en 128 m³/m³ y posteriormente aumentó hasta 160 m³/m³. Este comportamiento es compatible con la liberación de gas cuando la presión disminuye por debajo de la presión de burbuja de 200 kg/cm²(a).</a:t>
          </a:r>
        </a:p>
        <a:p>
          <a:r>
            <a:rPr lang="es-MX"/>
            <a:t>En conjunto, las gráficas muestran una disminución de presión acompañada de un aumento de los volúmenes producidos y de la relación gas-petróleo acumulada.</a:t>
          </a:r>
        </a:p>
        <a:p>
          <a:pPr algn="ctr"/>
          <a:endParaRPr lang="es-MX"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351408</xdr:colOff>
      <xdr:row>9</xdr:row>
      <xdr:rowOff>108011</xdr:rowOff>
    </xdr:from>
    <xdr:to>
      <xdr:col>5</xdr:col>
      <xdr:colOff>81379</xdr:colOff>
      <xdr:row>22</xdr:row>
      <xdr:rowOff>118369</xdr:rowOff>
    </xdr:to>
    <xdr:graphicFrame macro="">
      <xdr:nvGraphicFramePr>
        <xdr:cNvPr id="2" name="Gráfico 1">
          <a:extLst>
            <a:ext uri="{FF2B5EF4-FFF2-40B4-BE49-F238E27FC236}">
              <a16:creationId xmlns:a16="http://schemas.microsoft.com/office/drawing/2014/main" id="{D26D6346-8D27-007B-5B9C-209831A1AF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22860</xdr:colOff>
      <xdr:row>8</xdr:row>
      <xdr:rowOff>93073</xdr:rowOff>
    </xdr:from>
    <xdr:to>
      <xdr:col>11</xdr:col>
      <xdr:colOff>579120</xdr:colOff>
      <xdr:row>26</xdr:row>
      <xdr:rowOff>26126</xdr:rowOff>
    </xdr:to>
    <xdr:graphicFrame macro="">
      <xdr:nvGraphicFramePr>
        <xdr:cNvPr id="2" name="Gráfico 1">
          <a:extLst>
            <a:ext uri="{FF2B5EF4-FFF2-40B4-BE49-F238E27FC236}">
              <a16:creationId xmlns:a16="http://schemas.microsoft.com/office/drawing/2014/main" id="{E18B6FD3-C681-3C4E-13A5-37366843FB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7620</xdr:colOff>
      <xdr:row>31</xdr:row>
      <xdr:rowOff>0</xdr:rowOff>
    </xdr:from>
    <xdr:to>
      <xdr:col>13</xdr:col>
      <xdr:colOff>784860</xdr:colOff>
      <xdr:row>38</xdr:row>
      <xdr:rowOff>0</xdr:rowOff>
    </xdr:to>
    <xdr:sp macro="" textlink="">
      <xdr:nvSpPr>
        <xdr:cNvPr id="3" name="CuadroTexto 2">
          <a:extLst>
            <a:ext uri="{FF2B5EF4-FFF2-40B4-BE49-F238E27FC236}">
              <a16:creationId xmlns:a16="http://schemas.microsoft.com/office/drawing/2014/main" id="{7518D773-E262-3EED-EFFA-908DDCDC485D}"/>
            </a:ext>
          </a:extLst>
        </xdr:cNvPr>
        <xdr:cNvSpPr txBox="1"/>
      </xdr:nvSpPr>
      <xdr:spPr>
        <a:xfrm>
          <a:off x="6888480" y="5852160"/>
          <a:ext cx="4739640" cy="128016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MX"/>
            <a:t>Se utiliza un coeficiente de entrada de agua constante (Caq = 100 m³/[kg/cm²]) y un factor volumétrico del agua constante (Bw = 1.02 m³/m³). Se supone que la entrada de agua es proporcional a la caída de presión, sin considerar explícitamente el tiempo de respuesta, la geometría del acuífero ni las variaciones espaciales de presión. Los parámetros utilizados son valores hipotéticos establecidos con fines académicos y no corresponden a mediciones reales.</a:t>
          </a:r>
        </a:p>
        <a:p>
          <a:endParaRPr lang="es-MX"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5ED30-09C3-4C7C-BC30-84FE47D4AB70}">
  <dimension ref="B2:H32"/>
  <sheetViews>
    <sheetView topLeftCell="B9" workbookViewId="0">
      <selection activeCell="J36" sqref="J36"/>
    </sheetView>
  </sheetViews>
  <sheetFormatPr baseColWidth="10" defaultRowHeight="14.4"/>
  <cols>
    <col min="2" max="2" width="30" customWidth="1"/>
    <col min="3" max="3" width="47.33203125" customWidth="1"/>
    <col min="5" max="5" width="13.33203125" customWidth="1"/>
  </cols>
  <sheetData>
    <row r="2" spans="2:8">
      <c r="B2" s="35" t="s">
        <v>149</v>
      </c>
      <c r="C2" s="35"/>
      <c r="D2" s="35"/>
      <c r="E2" s="35"/>
      <c r="F2" s="35"/>
      <c r="G2" s="35"/>
      <c r="H2" s="35"/>
    </row>
    <row r="3" spans="2:8">
      <c r="B3" s="35"/>
      <c r="C3" s="35"/>
      <c r="D3" s="35"/>
      <c r="E3" s="35"/>
      <c r="F3" s="35"/>
      <c r="G3" s="35"/>
      <c r="H3" s="35"/>
    </row>
    <row r="4" spans="2:8">
      <c r="B4" s="35"/>
      <c r="C4" s="35"/>
      <c r="D4" s="35"/>
      <c r="E4" s="35"/>
      <c r="F4" s="35"/>
      <c r="G4" s="35"/>
      <c r="H4" s="35"/>
    </row>
    <row r="5" spans="2:8">
      <c r="B5" s="33" t="s">
        <v>148</v>
      </c>
      <c r="C5" s="33"/>
      <c r="D5" s="33"/>
      <c r="E5" s="33"/>
      <c r="F5" s="33"/>
      <c r="G5" s="33"/>
      <c r="H5" s="33"/>
    </row>
    <row r="6" spans="2:8">
      <c r="B6" s="33" t="s">
        <v>123</v>
      </c>
      <c r="C6" s="33"/>
      <c r="D6" s="33"/>
      <c r="E6" s="33"/>
      <c r="F6" s="33"/>
      <c r="G6" s="33"/>
      <c r="H6" s="33"/>
    </row>
    <row r="8" spans="2:8">
      <c r="B8" s="29" t="s">
        <v>124</v>
      </c>
      <c r="C8" t="s">
        <v>150</v>
      </c>
    </row>
    <row r="9" spans="2:8">
      <c r="B9" s="29" t="s">
        <v>125</v>
      </c>
      <c r="C9" t="s">
        <v>126</v>
      </c>
    </row>
    <row r="10" spans="2:8">
      <c r="B10" s="29" t="s">
        <v>127</v>
      </c>
      <c r="C10" t="s">
        <v>128</v>
      </c>
    </row>
    <row r="11" spans="2:8">
      <c r="B11" s="29" t="s">
        <v>129</v>
      </c>
      <c r="C11">
        <f>'01_PARAMETROS'!B6</f>
        <v>320</v>
      </c>
      <c r="D11" t="s">
        <v>16</v>
      </c>
    </row>
    <row r="12" spans="2:8">
      <c r="B12" s="29" t="s">
        <v>130</v>
      </c>
      <c r="C12">
        <f>'01_PARAMETROS'!B7</f>
        <v>200</v>
      </c>
      <c r="D12" t="s">
        <v>16</v>
      </c>
      <c r="E12" s="2"/>
    </row>
    <row r="13" spans="2:8">
      <c r="B13" s="29" t="s">
        <v>131</v>
      </c>
      <c r="C13" s="1">
        <f>'01_PARAMETROS'!B3</f>
        <v>280000</v>
      </c>
      <c r="D13" t="s">
        <v>2</v>
      </c>
      <c r="E13" s="28"/>
    </row>
    <row r="16" spans="2:8">
      <c r="B16" s="33" t="s">
        <v>132</v>
      </c>
      <c r="C16" s="33"/>
      <c r="D16" s="33"/>
      <c r="E16" s="33"/>
      <c r="F16" s="33"/>
      <c r="G16" s="33"/>
      <c r="H16" s="33"/>
    </row>
    <row r="18" spans="2:8">
      <c r="B18" s="29" t="s">
        <v>133</v>
      </c>
      <c r="C18" t="s">
        <v>134</v>
      </c>
    </row>
    <row r="19" spans="2:8">
      <c r="B19" s="29" t="s">
        <v>135</v>
      </c>
      <c r="C19" t="s">
        <v>136</v>
      </c>
    </row>
    <row r="20" spans="2:8">
      <c r="B20" s="29" t="s">
        <v>137</v>
      </c>
      <c r="C20" t="s">
        <v>138</v>
      </c>
    </row>
    <row r="21" spans="2:8">
      <c r="B21" s="29" t="s">
        <v>139</v>
      </c>
      <c r="C21" t="s">
        <v>140</v>
      </c>
    </row>
    <row r="22" spans="2:8">
      <c r="B22" s="29" t="s">
        <v>141</v>
      </c>
      <c r="C22" s="30">
        <v>46311</v>
      </c>
    </row>
    <row r="24" spans="2:8">
      <c r="B24" s="34" t="s">
        <v>142</v>
      </c>
      <c r="C24" s="34"/>
      <c r="D24" s="34"/>
      <c r="E24" s="34"/>
      <c r="F24" s="34"/>
      <c r="G24" s="34"/>
      <c r="H24" s="34"/>
    </row>
    <row r="26" spans="2:8">
      <c r="B26" s="29">
        <v>1</v>
      </c>
      <c r="C26" t="s">
        <v>143</v>
      </c>
    </row>
    <row r="27" spans="2:8">
      <c r="B27" s="29">
        <v>2</v>
      </c>
      <c r="C27" t="s">
        <v>144</v>
      </c>
    </row>
    <row r="28" spans="2:8">
      <c r="B28" s="29">
        <v>3</v>
      </c>
      <c r="C28" t="s">
        <v>76</v>
      </c>
    </row>
    <row r="29" spans="2:8">
      <c r="B29" s="29">
        <v>4</v>
      </c>
      <c r="C29" t="s">
        <v>145</v>
      </c>
    </row>
    <row r="30" spans="2:8">
      <c r="B30" s="29">
        <v>5</v>
      </c>
      <c r="C30" t="s">
        <v>146</v>
      </c>
    </row>
    <row r="32" spans="2:8">
      <c r="B32" s="33" t="s">
        <v>147</v>
      </c>
      <c r="C32" s="33"/>
      <c r="D32" s="33"/>
      <c r="E32" s="33"/>
      <c r="F32" s="33"/>
      <c r="G32" s="33"/>
      <c r="H32" s="33"/>
    </row>
  </sheetData>
  <mergeCells count="6">
    <mergeCell ref="B16:H16"/>
    <mergeCell ref="B24:H24"/>
    <mergeCell ref="B32:H32"/>
    <mergeCell ref="B2:H4"/>
    <mergeCell ref="B5:H5"/>
    <mergeCell ref="B6:H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B6675-B38F-4B75-B0DE-2C305BB7173C}">
  <dimension ref="A1:E13"/>
  <sheetViews>
    <sheetView workbookViewId="0">
      <selection activeCell="B6" sqref="B6"/>
    </sheetView>
  </sheetViews>
  <sheetFormatPr baseColWidth="10" defaultRowHeight="14.4"/>
  <cols>
    <col min="1" max="1" width="18.5546875" customWidth="1"/>
    <col min="2" max="2" width="18.21875" customWidth="1"/>
    <col min="3" max="3" width="18.44140625" customWidth="1"/>
    <col min="4" max="4" width="17.88671875" customWidth="1"/>
    <col min="5" max="5" width="41.21875" customWidth="1"/>
    <col min="6" max="6" width="14.21875" customWidth="1"/>
  </cols>
  <sheetData>
    <row r="1" spans="1:5">
      <c r="A1" s="32" t="s">
        <v>117</v>
      </c>
      <c r="B1" s="32"/>
      <c r="C1" s="32"/>
      <c r="D1" s="32"/>
      <c r="E1" s="32"/>
    </row>
    <row r="2" spans="1:5" ht="13.8" customHeight="1">
      <c r="A2" s="15" t="s">
        <v>6</v>
      </c>
      <c r="B2" s="15" t="s">
        <v>0</v>
      </c>
      <c r="C2" s="15" t="s">
        <v>1</v>
      </c>
      <c r="D2" s="15" t="s">
        <v>8</v>
      </c>
      <c r="E2" s="15" t="s">
        <v>7</v>
      </c>
    </row>
    <row r="3" spans="1:5">
      <c r="A3" s="12" t="s">
        <v>9</v>
      </c>
      <c r="B3" s="13">
        <v>280000</v>
      </c>
      <c r="C3" s="12" t="s">
        <v>2</v>
      </c>
      <c r="D3" s="12" t="s">
        <v>13</v>
      </c>
      <c r="E3" s="12" t="s">
        <v>10</v>
      </c>
    </row>
    <row r="4" spans="1:5">
      <c r="A4" s="14" t="s">
        <v>3</v>
      </c>
      <c r="B4" s="27">
        <v>0.2</v>
      </c>
      <c r="C4" s="14" t="s">
        <v>11</v>
      </c>
      <c r="D4" s="14" t="s">
        <v>13</v>
      </c>
      <c r="E4" s="14" t="s">
        <v>12</v>
      </c>
    </row>
    <row r="5" spans="1:5">
      <c r="A5" s="12" t="s">
        <v>4</v>
      </c>
      <c r="B5" s="12">
        <v>0.25</v>
      </c>
      <c r="C5" s="12" t="s">
        <v>11</v>
      </c>
      <c r="D5" s="12" t="s">
        <v>13</v>
      </c>
      <c r="E5" s="12" t="s">
        <v>14</v>
      </c>
    </row>
    <row r="6" spans="1:5">
      <c r="A6" s="14" t="s">
        <v>15</v>
      </c>
      <c r="B6" s="14">
        <v>320</v>
      </c>
      <c r="C6" s="14" t="s">
        <v>16</v>
      </c>
      <c r="D6" s="14" t="s">
        <v>17</v>
      </c>
      <c r="E6" s="14" t="s">
        <v>18</v>
      </c>
    </row>
    <row r="7" spans="1:5">
      <c r="A7" s="12" t="s">
        <v>19</v>
      </c>
      <c r="B7" s="12">
        <v>200</v>
      </c>
      <c r="C7" s="12" t="s">
        <v>16</v>
      </c>
      <c r="D7" s="12" t="s">
        <v>17</v>
      </c>
      <c r="E7" s="12" t="s">
        <v>20</v>
      </c>
    </row>
    <row r="8" spans="1:5">
      <c r="A8" s="14" t="s">
        <v>21</v>
      </c>
      <c r="B8" s="14">
        <v>68</v>
      </c>
      <c r="C8" s="14" t="s">
        <v>22</v>
      </c>
      <c r="D8" s="14" t="s">
        <v>17</v>
      </c>
      <c r="E8" s="14" t="s">
        <v>23</v>
      </c>
    </row>
    <row r="9" spans="1:5">
      <c r="A9" s="12" t="s">
        <v>24</v>
      </c>
      <c r="B9" s="12">
        <v>1.37</v>
      </c>
      <c r="C9" s="12" t="s">
        <v>25</v>
      </c>
      <c r="D9" s="12" t="s">
        <v>17</v>
      </c>
      <c r="E9" s="12" t="s">
        <v>26</v>
      </c>
    </row>
    <row r="10" spans="1:5">
      <c r="A10" s="14" t="s">
        <v>27</v>
      </c>
      <c r="B10" s="14">
        <v>128</v>
      </c>
      <c r="C10" s="14" t="s">
        <v>25</v>
      </c>
      <c r="D10" s="14" t="s">
        <v>17</v>
      </c>
      <c r="E10" s="14" t="s">
        <v>28</v>
      </c>
    </row>
    <row r="11" spans="1:5">
      <c r="A11" s="12" t="s">
        <v>89</v>
      </c>
      <c r="B11" s="12">
        <v>100</v>
      </c>
      <c r="C11" s="12" t="s">
        <v>98</v>
      </c>
      <c r="D11" s="12" t="s">
        <v>99</v>
      </c>
      <c r="E11" s="12" t="s">
        <v>100</v>
      </c>
    </row>
    <row r="12" spans="1:5">
      <c r="A12" s="14" t="s">
        <v>91</v>
      </c>
      <c r="B12" s="14">
        <v>1.02</v>
      </c>
      <c r="C12" s="14" t="s">
        <v>25</v>
      </c>
      <c r="D12" s="14" t="s">
        <v>99</v>
      </c>
      <c r="E12" s="14" t="s">
        <v>101</v>
      </c>
    </row>
    <row r="13" spans="1:5">
      <c r="C13" s="23"/>
    </row>
  </sheetData>
  <mergeCells count="1">
    <mergeCell ref="A1:E1"/>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072C5-A4DA-4419-96C1-D185A7B2F3EE}">
  <dimension ref="A1:F13"/>
  <sheetViews>
    <sheetView workbookViewId="0">
      <selection activeCell="E5" sqref="E5"/>
    </sheetView>
  </sheetViews>
  <sheetFormatPr baseColWidth="10" defaultRowHeight="14.4"/>
  <cols>
    <col min="2" max="2" width="13.109375" customWidth="1"/>
    <col min="3" max="3" width="18.33203125" customWidth="1"/>
    <col min="4" max="4" width="27.109375" customWidth="1"/>
  </cols>
  <sheetData>
    <row r="1" spans="1:6">
      <c r="A1" s="32" t="s">
        <v>118</v>
      </c>
      <c r="B1" s="32"/>
      <c r="C1" s="32"/>
      <c r="D1" s="32"/>
      <c r="E1" s="32"/>
      <c r="F1" s="32"/>
    </row>
    <row r="2" spans="1:6">
      <c r="A2" s="16" t="s">
        <v>29</v>
      </c>
      <c r="B2" s="16" t="s">
        <v>30</v>
      </c>
      <c r="C2" s="16" t="s">
        <v>31</v>
      </c>
      <c r="D2" s="16" t="s">
        <v>32</v>
      </c>
      <c r="E2" s="16" t="s">
        <v>33</v>
      </c>
      <c r="F2" s="16" t="s">
        <v>34</v>
      </c>
    </row>
    <row r="3" spans="1:6">
      <c r="A3" s="5">
        <v>1</v>
      </c>
      <c r="B3" s="5" t="s">
        <v>9</v>
      </c>
      <c r="C3" s="5" t="s">
        <v>35</v>
      </c>
      <c r="D3" s="5" t="s">
        <v>38</v>
      </c>
      <c r="E3" s="17">
        <f>'01_PARAMETROS'!B3</f>
        <v>280000</v>
      </c>
      <c r="F3" s="6" t="s">
        <v>2</v>
      </c>
    </row>
    <row r="4" spans="1:6">
      <c r="A4" s="5">
        <v>2</v>
      </c>
      <c r="B4" s="6" t="s">
        <v>3</v>
      </c>
      <c r="C4" s="5" t="s">
        <v>35</v>
      </c>
      <c r="D4" s="18" t="s">
        <v>36</v>
      </c>
      <c r="E4" s="26">
        <f>'01_PARAMETROS'!B4</f>
        <v>0.2</v>
      </c>
      <c r="F4" s="5" t="s">
        <v>11</v>
      </c>
    </row>
    <row r="5" spans="1:6">
      <c r="A5" s="5">
        <v>3</v>
      </c>
      <c r="B5" s="5" t="s">
        <v>4</v>
      </c>
      <c r="C5" s="5" t="s">
        <v>35</v>
      </c>
      <c r="D5" s="5" t="s">
        <v>37</v>
      </c>
      <c r="E5" s="26">
        <f>'01_PARAMETROS'!B5</f>
        <v>0.25</v>
      </c>
      <c r="F5" s="5" t="s">
        <v>11</v>
      </c>
    </row>
    <row r="6" spans="1:6">
      <c r="A6" s="5">
        <v>4</v>
      </c>
      <c r="B6" s="5" t="s">
        <v>39</v>
      </c>
      <c r="C6" s="6" t="s">
        <v>40</v>
      </c>
      <c r="D6" s="6" t="s">
        <v>41</v>
      </c>
      <c r="E6" s="17">
        <f>E3*E4</f>
        <v>56000</v>
      </c>
      <c r="F6" s="5" t="s">
        <v>2</v>
      </c>
    </row>
    <row r="7" spans="1:6">
      <c r="A7" s="5">
        <v>5</v>
      </c>
      <c r="B7" s="5" t="s">
        <v>5</v>
      </c>
      <c r="C7" s="6" t="s">
        <v>42</v>
      </c>
      <c r="D7" s="6" t="s">
        <v>43</v>
      </c>
      <c r="E7" s="17">
        <f>E6*E5</f>
        <v>14000</v>
      </c>
      <c r="F7" s="6" t="s">
        <v>2</v>
      </c>
    </row>
    <row r="8" spans="1:6">
      <c r="A8" s="5">
        <v>6</v>
      </c>
      <c r="B8" s="5" t="s">
        <v>45</v>
      </c>
      <c r="C8" s="6" t="s">
        <v>44</v>
      </c>
      <c r="D8" s="6" t="s">
        <v>46</v>
      </c>
      <c r="E8" s="17">
        <f>E6*(1-E5)</f>
        <v>42000</v>
      </c>
      <c r="F8" s="5" t="s">
        <v>2</v>
      </c>
    </row>
    <row r="9" spans="1:6">
      <c r="A9" s="5">
        <v>7</v>
      </c>
      <c r="B9" s="5" t="s">
        <v>47</v>
      </c>
      <c r="C9" s="6" t="s">
        <v>48</v>
      </c>
      <c r="D9" s="6" t="s">
        <v>49</v>
      </c>
      <c r="E9" s="17">
        <f>E7+E8</f>
        <v>56000</v>
      </c>
      <c r="F9" s="5" t="s">
        <v>2</v>
      </c>
    </row>
    <row r="10" spans="1:6">
      <c r="A10" s="5">
        <v>8</v>
      </c>
      <c r="B10" s="6" t="s">
        <v>60</v>
      </c>
      <c r="C10" s="6" t="s">
        <v>61</v>
      </c>
      <c r="D10" s="6" t="s">
        <v>62</v>
      </c>
      <c r="E10" s="17">
        <f>E9-E6</f>
        <v>0</v>
      </c>
      <c r="F10" s="6" t="s">
        <v>2</v>
      </c>
    </row>
    <row r="12" spans="1:6">
      <c r="A12" s="36" t="s">
        <v>59</v>
      </c>
      <c r="B12" s="36"/>
      <c r="C12" s="36"/>
      <c r="D12" s="36"/>
      <c r="E12" s="36"/>
      <c r="F12" s="36"/>
    </row>
    <row r="13" spans="1:6">
      <c r="A13" s="36"/>
      <c r="B13" s="36"/>
      <c r="C13" s="36"/>
      <c r="D13" s="36"/>
      <c r="E13" s="36"/>
      <c r="F13" s="36"/>
    </row>
  </sheetData>
  <mergeCells count="2">
    <mergeCell ref="A12:F13"/>
    <mergeCell ref="A1:F1"/>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3D534-FA70-4630-990F-C711C20EC65A}">
  <dimension ref="A1:W12"/>
  <sheetViews>
    <sheetView zoomScale="73" zoomScaleNormal="73" workbookViewId="0">
      <selection activeCell="F12" sqref="F12"/>
    </sheetView>
  </sheetViews>
  <sheetFormatPr baseColWidth="10" defaultRowHeight="14.4"/>
  <cols>
    <col min="1" max="1" width="11.5546875" customWidth="1"/>
    <col min="6" max="6" width="15.109375" customWidth="1"/>
    <col min="9" max="9" width="24.33203125" customWidth="1"/>
    <col min="18" max="18" width="12.44140625" customWidth="1"/>
    <col min="19" max="19" width="19.5546875" customWidth="1"/>
    <col min="20" max="20" width="15.6640625" customWidth="1"/>
  </cols>
  <sheetData>
    <row r="1" spans="1:23">
      <c r="A1" s="32" t="s">
        <v>116</v>
      </c>
      <c r="B1" s="32"/>
      <c r="C1" s="32"/>
      <c r="D1" s="32"/>
      <c r="E1" s="32"/>
      <c r="F1" s="32"/>
      <c r="G1" s="32"/>
      <c r="H1" s="32"/>
      <c r="I1" s="32"/>
      <c r="J1" s="32"/>
    </row>
    <row r="2" spans="1:23">
      <c r="A2" s="38" t="s">
        <v>81</v>
      </c>
      <c r="B2" s="38"/>
      <c r="C2" s="38"/>
      <c r="D2" s="38"/>
      <c r="E2" s="38"/>
      <c r="F2" s="38"/>
      <c r="G2" s="38"/>
      <c r="H2" s="38"/>
      <c r="I2" s="38"/>
      <c r="J2" s="38"/>
    </row>
    <row r="3" spans="1:23">
      <c r="A3" s="24" t="s">
        <v>50</v>
      </c>
      <c r="B3" s="24" t="s">
        <v>51</v>
      </c>
      <c r="C3" s="24" t="s">
        <v>52</v>
      </c>
      <c r="D3" s="24" t="s">
        <v>53</v>
      </c>
      <c r="E3" s="24" t="s">
        <v>54</v>
      </c>
      <c r="F3" s="24" t="s">
        <v>55</v>
      </c>
      <c r="G3" s="24" t="s">
        <v>56</v>
      </c>
      <c r="H3" s="24" t="s">
        <v>57</v>
      </c>
      <c r="I3" s="24" t="s">
        <v>7</v>
      </c>
      <c r="J3" s="24" t="s">
        <v>58</v>
      </c>
    </row>
    <row r="4" spans="1:23">
      <c r="A4" s="19">
        <v>0</v>
      </c>
      <c r="B4" s="19">
        <v>320</v>
      </c>
      <c r="C4" s="19">
        <v>1.37</v>
      </c>
      <c r="D4" s="19">
        <v>128</v>
      </c>
      <c r="E4" s="19">
        <v>0</v>
      </c>
      <c r="F4" s="19" t="str">
        <f>IF(B4&gt;'01_PARAMETROS'!$B$7,"Subsaturado",IF(B4='01_PARAMETROS'!$B$7,"Punto de burbuja","Región bifásica"))</f>
        <v>Subsaturado</v>
      </c>
      <c r="G4" s="19">
        <v>0</v>
      </c>
      <c r="H4" s="20">
        <v>0</v>
      </c>
      <c r="I4" s="19" t="str">
        <f t="shared" ref="I4:I9" si="0">IF(F4="Subsaturado","P &gt; Pb: aceite subsaturado",IF(F4="Punto de burbuja","P = Pb: punto de burbuja","P &lt; Pb: aceite + gas libre"))</f>
        <v>P &gt; Pb: aceite subsaturado</v>
      </c>
      <c r="J4" s="19" t="str">
        <f>IF(AND(G4='01_PARAMETROS'!$B$6-B4,ABS(H4-G4/'01_PARAMETROS'!$B$6)&lt;0.000001),"OK","REVISAR")</f>
        <v>OK</v>
      </c>
    </row>
    <row r="5" spans="1:23">
      <c r="A5" s="5">
        <v>2</v>
      </c>
      <c r="B5" s="5">
        <v>260</v>
      </c>
      <c r="C5" s="5">
        <v>1.3819999999999999</v>
      </c>
      <c r="D5" s="5">
        <v>128</v>
      </c>
      <c r="E5" s="5">
        <v>0</v>
      </c>
      <c r="F5" s="5" t="str">
        <f>IF(B5&gt;'01_PARAMETROS'!$B$7,"Subsaturado",IF(B5='01_PARAMETROS'!$B$7,"Punto de burbuja","Región bifásica"))</f>
        <v>Subsaturado</v>
      </c>
      <c r="G5" s="5">
        <f>'01_PARAMETROS'!$B$6-B5</f>
        <v>60</v>
      </c>
      <c r="H5" s="21">
        <f>G5/'01_PARAMETROS'!$B$6</f>
        <v>0.1875</v>
      </c>
      <c r="I5" s="5" t="str">
        <f t="shared" si="0"/>
        <v>P &gt; Pb: aceite subsaturado</v>
      </c>
      <c r="J5" s="19" t="str">
        <f>IF(AND(G5='01_PARAMETROS'!$B$6-B5,ABS(H5-G5/'01_PARAMETROS'!$B$6)&lt;0.000001),"OK","REVISAR")</f>
        <v>OK</v>
      </c>
      <c r="R5" s="24" t="s">
        <v>63</v>
      </c>
      <c r="S5" s="24" t="s">
        <v>64</v>
      </c>
      <c r="T5" s="24" t="s">
        <v>65</v>
      </c>
    </row>
    <row r="6" spans="1:23">
      <c r="A6" s="19">
        <v>5</v>
      </c>
      <c r="B6" s="19">
        <v>200</v>
      </c>
      <c r="C6" s="19">
        <v>1.395</v>
      </c>
      <c r="D6" s="19">
        <v>128</v>
      </c>
      <c r="E6" s="19">
        <v>0</v>
      </c>
      <c r="F6" s="19" t="str">
        <f>IF(B6&gt;'01_PARAMETROS'!$B$7,"Subsaturado",IF(B6='01_PARAMETROS'!$B$7,"Punto de burbuja","Región bifásica"))</f>
        <v>Punto de burbuja</v>
      </c>
      <c r="G6" s="19">
        <f>'01_PARAMETROS'!$B$6-B6</f>
        <v>120</v>
      </c>
      <c r="H6" s="20">
        <f>G6/'01_PARAMETROS'!$B$6</f>
        <v>0.375</v>
      </c>
      <c r="I6" s="19" t="str">
        <f t="shared" si="0"/>
        <v>P = Pb: punto de burbuja</v>
      </c>
      <c r="J6" s="19" t="str">
        <f>IF(AND(G6='01_PARAMETROS'!$B$6-B6,ABS(H6-G6/'01_PARAMETROS'!$B$6)&lt;0.000001),"OK","REVISAR")</f>
        <v>OK</v>
      </c>
      <c r="R6" s="19" t="s">
        <v>55</v>
      </c>
      <c r="S6" s="19" t="s">
        <v>66</v>
      </c>
      <c r="T6" s="19" t="s">
        <v>67</v>
      </c>
    </row>
    <row r="7" spans="1:23">
      <c r="A7" s="5">
        <v>6</v>
      </c>
      <c r="B7" s="5">
        <v>170</v>
      </c>
      <c r="C7" s="5">
        <v>1.36</v>
      </c>
      <c r="D7" s="5">
        <v>112</v>
      </c>
      <c r="E7" s="6">
        <v>6.1000000000000004E-3</v>
      </c>
      <c r="F7" s="5" t="str">
        <f>IF(B7&gt;'01_PARAMETROS'!$B$7,"Subsaturado",IF(B7='01_PARAMETROS'!$B$7,"Punto de burbuja","Región bifásica"))</f>
        <v>Región bifásica</v>
      </c>
      <c r="G7" s="5">
        <f>'01_PARAMETROS'!$B$6-B7</f>
        <v>150</v>
      </c>
      <c r="H7" s="21">
        <f>G7/'01_PARAMETROS'!$B$6</f>
        <v>0.46875</v>
      </c>
      <c r="I7" s="5" t="str">
        <f t="shared" si="0"/>
        <v>P &lt; Pb: aceite + gas libre</v>
      </c>
      <c r="J7" s="19" t="str">
        <f>IF(AND(G7='01_PARAMETROS'!$B$6-B7,ABS(H7-G7/'01_PARAMETROS'!$B$6)&lt;0.000001),"OK","REVISAR")</f>
        <v>OK</v>
      </c>
      <c r="R7" s="5" t="s">
        <v>68</v>
      </c>
      <c r="S7" s="5" t="s">
        <v>69</v>
      </c>
      <c r="T7" s="5" t="s">
        <v>70</v>
      </c>
    </row>
    <row r="8" spans="1:23">
      <c r="A8" s="19">
        <v>7</v>
      </c>
      <c r="B8" s="19">
        <v>135</v>
      </c>
      <c r="C8" s="19">
        <v>1.32</v>
      </c>
      <c r="D8" s="19">
        <v>94</v>
      </c>
      <c r="E8" s="22">
        <v>7.5500000000000003E-3</v>
      </c>
      <c r="F8" s="19" t="str">
        <f>IF(B8&gt;'01_PARAMETROS'!$B$7,"Subsaturado",IF(B8='01_PARAMETROS'!$B$7,"Punto de burbuja","Región bifásica"))</f>
        <v>Región bifásica</v>
      </c>
      <c r="G8" s="19">
        <f>'01_PARAMETROS'!$B$6-B8</f>
        <v>185</v>
      </c>
      <c r="H8" s="20">
        <f>G8/'01_PARAMETROS'!$B$6</f>
        <v>0.578125</v>
      </c>
      <c r="I8" s="19" t="str">
        <f t="shared" si="0"/>
        <v>P &lt; Pb: aceite + gas libre</v>
      </c>
      <c r="J8" s="19" t="str">
        <f>IF(AND(G8='01_PARAMETROS'!$B$6-B8,ABS(H8-G8/'01_PARAMETROS'!$B$6)&lt;0.000001),"OK","REVISAR")</f>
        <v>OK</v>
      </c>
      <c r="R8" s="19" t="s">
        <v>71</v>
      </c>
      <c r="S8" s="19" t="s">
        <v>72</v>
      </c>
      <c r="T8" s="19" t="s">
        <v>70</v>
      </c>
    </row>
    <row r="9" spans="1:23">
      <c r="A9" s="5">
        <v>8</v>
      </c>
      <c r="B9" s="5">
        <v>100</v>
      </c>
      <c r="C9" s="5">
        <v>1.28</v>
      </c>
      <c r="D9" s="5">
        <v>76</v>
      </c>
      <c r="E9" s="6">
        <v>9.9000000000000008E-3</v>
      </c>
      <c r="F9" s="5" t="str">
        <f>IF(B9&gt;'01_PARAMETROS'!$B$7,"Subsaturado",IF(B9='01_PARAMETROS'!$B$7,"Punto de burbuja","Región bifásica"))</f>
        <v>Región bifásica</v>
      </c>
      <c r="G9" s="5">
        <f>'01_PARAMETROS'!$B$6-B9</f>
        <v>220</v>
      </c>
      <c r="H9" s="21">
        <f>G9/'01_PARAMETROS'!$B$6</f>
        <v>0.6875</v>
      </c>
      <c r="I9" s="5" t="str">
        <f t="shared" si="0"/>
        <v>P &lt; Pb: aceite + gas libre</v>
      </c>
      <c r="J9" s="19" t="str">
        <f>IF(AND(G9='01_PARAMETROS'!$B$6-B9,ABS(H9-G9/'01_PARAMETROS'!$B$6)&lt;0.000001),"OK","REVISAR")</f>
        <v>OK</v>
      </c>
      <c r="R9" s="5" t="s">
        <v>73</v>
      </c>
      <c r="S9" s="5" t="s">
        <v>74</v>
      </c>
      <c r="T9" s="5" t="s">
        <v>75</v>
      </c>
    </row>
    <row r="10" spans="1:23">
      <c r="H10" s="4"/>
    </row>
    <row r="11" spans="1:23">
      <c r="R11" s="37" t="s">
        <v>59</v>
      </c>
      <c r="S11" s="37"/>
      <c r="T11" s="37"/>
      <c r="U11" s="37"/>
      <c r="V11" s="37"/>
      <c r="W11" s="37"/>
    </row>
    <row r="12" spans="1:23">
      <c r="R12" s="37"/>
      <c r="S12" s="37"/>
      <c r="T12" s="37"/>
      <c r="U12" s="37"/>
      <c r="V12" s="37"/>
      <c r="W12" s="37"/>
    </row>
  </sheetData>
  <mergeCells count="3">
    <mergeCell ref="R11:W12"/>
    <mergeCell ref="A2:J2"/>
    <mergeCell ref="A1:J1"/>
  </mergeCells>
  <phoneticPr fontId="2"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BC608-EFD1-4F5E-9E92-9E8C1B029E0D}">
  <dimension ref="A2:L16"/>
  <sheetViews>
    <sheetView tabSelected="1" topLeftCell="B5" zoomScale="90" zoomScaleNormal="90" workbookViewId="0">
      <selection activeCell="M27" sqref="M27"/>
    </sheetView>
  </sheetViews>
  <sheetFormatPr baseColWidth="10" defaultRowHeight="14.4"/>
  <cols>
    <col min="1" max="1" width="19.44140625" customWidth="1"/>
    <col min="2" max="2" width="15.77734375" customWidth="1"/>
    <col min="10" max="10" width="15.44140625" customWidth="1"/>
  </cols>
  <sheetData>
    <row r="2" spans="1:12">
      <c r="A2" s="39" t="s">
        <v>121</v>
      </c>
      <c r="B2" s="39"/>
      <c r="C2" s="39"/>
      <c r="D2" s="39"/>
      <c r="E2" s="39"/>
      <c r="F2" s="39"/>
      <c r="G2" s="39"/>
      <c r="H2" s="39"/>
      <c r="I2" s="39"/>
      <c r="J2" s="39"/>
      <c r="K2" s="39"/>
      <c r="L2" s="9"/>
    </row>
    <row r="3" spans="1:12">
      <c r="A3" s="10" t="s">
        <v>50</v>
      </c>
      <c r="B3" s="10" t="s">
        <v>51</v>
      </c>
      <c r="C3" s="10" t="s">
        <v>77</v>
      </c>
      <c r="D3" s="10" t="s">
        <v>78</v>
      </c>
      <c r="E3" s="10" t="s">
        <v>79</v>
      </c>
      <c r="F3" s="10" t="s">
        <v>80</v>
      </c>
      <c r="G3" s="10" t="s">
        <v>108</v>
      </c>
      <c r="H3" s="10" t="s">
        <v>109</v>
      </c>
      <c r="I3" s="10" t="s">
        <v>110</v>
      </c>
      <c r="J3" s="10" t="s">
        <v>111</v>
      </c>
      <c r="K3" s="10" t="s">
        <v>58</v>
      </c>
    </row>
    <row r="4" spans="1:12">
      <c r="A4" s="5">
        <f>'02_PVT'!A4</f>
        <v>0</v>
      </c>
      <c r="B4" s="5">
        <f>'02_PVT'!B4</f>
        <v>320</v>
      </c>
      <c r="C4" s="5">
        <v>0</v>
      </c>
      <c r="D4" s="5">
        <v>0</v>
      </c>
      <c r="E4" s="5">
        <v>0</v>
      </c>
      <c r="F4" s="5" t="str">
        <f>IF(C4=0,"",D4/C4)</f>
        <v/>
      </c>
      <c r="G4" s="5">
        <f>'02_PVT'!C4</f>
        <v>1.37</v>
      </c>
      <c r="H4" s="5">
        <f>'02_PVT'!D4</f>
        <v>128</v>
      </c>
      <c r="I4" s="5">
        <f>IF('02_PVT'!E4="","",'02_PVT'!E4)</f>
        <v>0</v>
      </c>
      <c r="J4" s="5" t="str">
        <f>IF(C4=0,"",C4*F4)</f>
        <v/>
      </c>
      <c r="K4" s="5" t="str">
        <f>IF(C4=0,IF(D4=0,"OK","REVISAR"),IF(ABS(J4-D4)&lt;0.000001,"OK","REVISAR"))</f>
        <v>OK</v>
      </c>
    </row>
    <row r="5" spans="1:12">
      <c r="A5" s="5">
        <f>'02_PVT'!A5</f>
        <v>2</v>
      </c>
      <c r="B5" s="5">
        <f>'02_PVT'!B5</f>
        <v>260</v>
      </c>
      <c r="C5" s="5">
        <v>2500</v>
      </c>
      <c r="D5" s="5">
        <v>320000</v>
      </c>
      <c r="E5" s="5">
        <v>180</v>
      </c>
      <c r="F5" s="5">
        <f t="shared" ref="F5:F9" si="0">IF(C5=0,"",D5/C5)</f>
        <v>128</v>
      </c>
      <c r="G5" s="5">
        <f>'02_PVT'!C5</f>
        <v>1.3819999999999999</v>
      </c>
      <c r="H5" s="5">
        <f>'02_PVT'!D5</f>
        <v>128</v>
      </c>
      <c r="I5" s="5">
        <f>IF('02_PVT'!E5="","",'02_PVT'!E5)</f>
        <v>0</v>
      </c>
      <c r="J5" s="5">
        <f t="shared" ref="J5:J9" si="1">IF(C5=0,"",C5*F5)</f>
        <v>320000</v>
      </c>
      <c r="K5" s="5" t="str">
        <f t="shared" ref="K5:K9" si="2">IF(C5=0,IF(D5=0,"OK","REVISAR"),IF(ABS(J5-D5)&lt;0.000001,"OK","REVISAR"))</f>
        <v>OK</v>
      </c>
    </row>
    <row r="6" spans="1:12">
      <c r="A6" s="5">
        <f>'02_PVT'!A6</f>
        <v>5</v>
      </c>
      <c r="B6" s="5">
        <f>'02_PVT'!B6</f>
        <v>200</v>
      </c>
      <c r="C6" s="5">
        <v>6200</v>
      </c>
      <c r="D6" s="6">
        <v>793600</v>
      </c>
      <c r="E6" s="5">
        <v>510</v>
      </c>
      <c r="F6" s="5">
        <f t="shared" si="0"/>
        <v>128</v>
      </c>
      <c r="G6" s="5">
        <f>'02_PVT'!C6</f>
        <v>1.395</v>
      </c>
      <c r="H6" s="5">
        <f>'02_PVT'!D6</f>
        <v>128</v>
      </c>
      <c r="I6" s="5">
        <f>IF('02_PVT'!E6="","",'02_PVT'!E6)</f>
        <v>0</v>
      </c>
      <c r="J6" s="5">
        <f t="shared" si="1"/>
        <v>793600</v>
      </c>
      <c r="K6" s="5" t="str">
        <f t="shared" si="2"/>
        <v>OK</v>
      </c>
    </row>
    <row r="7" spans="1:12">
      <c r="A7" s="5">
        <f>'02_PVT'!A7</f>
        <v>6</v>
      </c>
      <c r="B7" s="5">
        <f>'02_PVT'!B7</f>
        <v>170</v>
      </c>
      <c r="C7" s="5">
        <v>9000</v>
      </c>
      <c r="D7" s="6">
        <v>1215000</v>
      </c>
      <c r="E7" s="5">
        <v>850</v>
      </c>
      <c r="F7" s="5">
        <f t="shared" si="0"/>
        <v>135</v>
      </c>
      <c r="G7" s="5">
        <f>'02_PVT'!C7</f>
        <v>1.36</v>
      </c>
      <c r="H7" s="5">
        <f>'02_PVT'!D7</f>
        <v>112</v>
      </c>
      <c r="I7" s="5">
        <f>IF('02_PVT'!E7="","",'02_PVT'!E7)</f>
        <v>6.1000000000000004E-3</v>
      </c>
      <c r="J7" s="5">
        <f t="shared" si="1"/>
        <v>1215000</v>
      </c>
      <c r="K7" s="5" t="str">
        <f t="shared" si="2"/>
        <v>OK</v>
      </c>
    </row>
    <row r="8" spans="1:12">
      <c r="A8" s="5">
        <f>'02_PVT'!A8</f>
        <v>7</v>
      </c>
      <c r="B8" s="5">
        <f>'02_PVT'!B8</f>
        <v>135</v>
      </c>
      <c r="C8" s="5">
        <v>12500</v>
      </c>
      <c r="D8" s="6">
        <v>1812500</v>
      </c>
      <c r="E8" s="5">
        <v>1350</v>
      </c>
      <c r="F8" s="5">
        <f t="shared" si="0"/>
        <v>145</v>
      </c>
      <c r="G8" s="5">
        <f>'02_PVT'!C8</f>
        <v>1.32</v>
      </c>
      <c r="H8" s="5">
        <f>'02_PVT'!D8</f>
        <v>94</v>
      </c>
      <c r="I8" s="5">
        <f>IF('02_PVT'!E8="","",'02_PVT'!E8)</f>
        <v>7.5500000000000003E-3</v>
      </c>
      <c r="J8" s="5">
        <f t="shared" si="1"/>
        <v>1812500</v>
      </c>
      <c r="K8" s="5" t="str">
        <f t="shared" si="2"/>
        <v>OK</v>
      </c>
    </row>
    <row r="9" spans="1:12">
      <c r="A9" s="5">
        <f>'02_PVT'!A9</f>
        <v>8</v>
      </c>
      <c r="B9" s="5">
        <f>'02_PVT'!B9</f>
        <v>100</v>
      </c>
      <c r="C9" s="5">
        <v>15500</v>
      </c>
      <c r="D9" s="6">
        <v>2480000</v>
      </c>
      <c r="E9" s="5">
        <v>2050</v>
      </c>
      <c r="F9" s="5">
        <f t="shared" si="0"/>
        <v>160</v>
      </c>
      <c r="G9" s="5">
        <f>'02_PVT'!C9</f>
        <v>1.28</v>
      </c>
      <c r="H9" s="5">
        <f>'02_PVT'!D9</f>
        <v>76</v>
      </c>
      <c r="I9" s="5">
        <f>IF('02_PVT'!E9="","",'02_PVT'!E9)</f>
        <v>9.9000000000000008E-3</v>
      </c>
      <c r="J9" s="5">
        <f t="shared" si="1"/>
        <v>2480000</v>
      </c>
      <c r="K9" s="5" t="str">
        <f t="shared" si="2"/>
        <v>OK</v>
      </c>
    </row>
    <row r="13" spans="1:12">
      <c r="A13" s="3"/>
    </row>
    <row r="14" spans="1:12">
      <c r="A14" s="3"/>
      <c r="B14" s="7"/>
    </row>
    <row r="16" spans="1:12">
      <c r="A16" s="33" t="s">
        <v>122</v>
      </c>
      <c r="B16" s="33"/>
      <c r="C16" s="33"/>
      <c r="D16" s="33"/>
      <c r="E16" s="33"/>
      <c r="F16" s="33"/>
    </row>
  </sheetData>
  <mergeCells count="2">
    <mergeCell ref="A2:K2"/>
    <mergeCell ref="A16:F1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74D9B-3ACB-4BA1-B304-80CA957FB505}">
  <dimension ref="A1:M33"/>
  <sheetViews>
    <sheetView zoomScale="94" zoomScaleNormal="94" workbookViewId="0">
      <selection activeCell="N5" sqref="N5"/>
    </sheetView>
  </sheetViews>
  <sheetFormatPr baseColWidth="10" defaultRowHeight="14.4"/>
  <cols>
    <col min="2" max="2" width="16" customWidth="1"/>
    <col min="3" max="3" width="15" customWidth="1"/>
    <col min="11" max="11" width="13.21875" customWidth="1"/>
  </cols>
  <sheetData>
    <row r="1" spans="1:13">
      <c r="A1" s="32" t="s">
        <v>120</v>
      </c>
      <c r="B1" s="40"/>
      <c r="C1" s="40"/>
      <c r="D1" s="40"/>
      <c r="E1" s="40"/>
      <c r="F1" s="40"/>
      <c r="G1" s="40"/>
      <c r="H1" s="40"/>
      <c r="I1" s="40"/>
      <c r="J1" s="40"/>
      <c r="K1" s="40"/>
      <c r="L1" s="40"/>
      <c r="M1" s="40"/>
    </row>
    <row r="2" spans="1:13">
      <c r="A2" s="10" t="s">
        <v>50</v>
      </c>
      <c r="B2" s="10" t="s">
        <v>82</v>
      </c>
      <c r="C2" s="10" t="s">
        <v>83</v>
      </c>
      <c r="D2" s="10" t="s">
        <v>52</v>
      </c>
      <c r="E2" s="10" t="s">
        <v>112</v>
      </c>
      <c r="F2" s="10" t="s">
        <v>113</v>
      </c>
      <c r="G2" s="10" t="s">
        <v>53</v>
      </c>
      <c r="H2" s="10" t="s">
        <v>54</v>
      </c>
      <c r="I2" s="10" t="s">
        <v>84</v>
      </c>
      <c r="J2" s="10" t="s">
        <v>85</v>
      </c>
      <c r="K2" s="10" t="s">
        <v>115</v>
      </c>
      <c r="L2" s="10" t="s">
        <v>114</v>
      </c>
      <c r="M2" s="10" t="s">
        <v>58</v>
      </c>
    </row>
    <row r="3" spans="1:13">
      <c r="A3" s="5">
        <f>'02_PVT'!A4</f>
        <v>0</v>
      </c>
      <c r="B3" s="5">
        <f>'02_PVT'!B4</f>
        <v>320</v>
      </c>
      <c r="C3" s="5" t="str">
        <f>IF(B3&gt;'01_PARAMETROS'!$B$7,"Subsaturada",IF(B3='01_PARAMETROS'!$B$7,"Punto de burbuja","Bifásica"))</f>
        <v>Subsaturada</v>
      </c>
      <c r="D3" s="5">
        <f>'02_PVT'!C4</f>
        <v>1.37</v>
      </c>
      <c r="E3" s="5">
        <f>'01_PARAMETROS'!$B$9</f>
        <v>1.37</v>
      </c>
      <c r="F3" s="5">
        <f>'01_PARAMETROS'!$B$10</f>
        <v>128</v>
      </c>
      <c r="G3" s="5">
        <f>'02_PVT'!D4</f>
        <v>128</v>
      </c>
      <c r="H3" s="5">
        <f>IF('02_PVT'!E4="","",'02_PVT'!E4)</f>
        <v>0</v>
      </c>
      <c r="I3" s="5">
        <f>D3-E3</f>
        <v>0</v>
      </c>
      <c r="J3" s="5">
        <f>F3-G3</f>
        <v>0</v>
      </c>
      <c r="K3" s="5" t="str">
        <f>IF(B3&gt;='01_PARAMETROS'!$B$7,"",IF(H3="","",J3*H3))</f>
        <v/>
      </c>
      <c r="L3" s="5">
        <f>IF(B3&gt;='01_PARAMETROS'!$B$7,I3,IF(H3="","",I3+K3))</f>
        <v>0</v>
      </c>
      <c r="M3" s="5" t="str">
        <f>IF(B3&gt;='01_PARAMETROS'!$B$7,IF(ABS(L3-I3)&lt;0.000001,"OK","REVISAR"),IF(H3="","REVISAR",IF(ABS(L3-(I3+K3))&lt;0.000001,"OK","REVISAR")))</f>
        <v>OK</v>
      </c>
    </row>
    <row r="4" spans="1:13">
      <c r="A4" s="5">
        <f>'02_PVT'!A5</f>
        <v>2</v>
      </c>
      <c r="B4" s="5">
        <f>'02_PVT'!B5</f>
        <v>260</v>
      </c>
      <c r="C4" s="5" t="str">
        <f>IF(B4&gt;'01_PARAMETROS'!$B$7,"Subsaturada",IF(B4='01_PARAMETROS'!$B$7,"Punto de burbuja","Bifásica"))</f>
        <v>Subsaturada</v>
      </c>
      <c r="D4" s="5">
        <f>'02_PVT'!C5</f>
        <v>1.3819999999999999</v>
      </c>
      <c r="E4" s="5">
        <f>'01_PARAMETROS'!$B$9</f>
        <v>1.37</v>
      </c>
      <c r="F4" s="5">
        <f>'01_PARAMETROS'!$B$10</f>
        <v>128</v>
      </c>
      <c r="G4" s="5">
        <f>'02_PVT'!D5</f>
        <v>128</v>
      </c>
      <c r="H4" s="5">
        <f>IF('02_PVT'!E5="","",'02_PVT'!E5)</f>
        <v>0</v>
      </c>
      <c r="I4" s="5">
        <f t="shared" ref="I4:I8" si="0">D4-E4</f>
        <v>1.1999999999999789E-2</v>
      </c>
      <c r="J4" s="5">
        <f t="shared" ref="J4:J8" si="1">F4-G4</f>
        <v>0</v>
      </c>
      <c r="K4" s="5" t="str">
        <f>IF(B4&gt;='01_PARAMETROS'!$B$7,"",IF(H4="","",J4*H4))</f>
        <v/>
      </c>
      <c r="L4" s="5">
        <f>IF(B4&gt;='01_PARAMETROS'!$B$7,I4,IF(H4="","",I4+K4))</f>
        <v>1.1999999999999789E-2</v>
      </c>
      <c r="M4" s="5" t="str">
        <f>IF(B4&gt;='01_PARAMETROS'!$B$7,IF(ABS(L4-I4)&lt;0.000001,"OK","REVISAR"),IF(H4="","REVISAR",IF(ABS(L4-(I4+K4))&lt;0.000001,"OK","REVISAR")))</f>
        <v>OK</v>
      </c>
    </row>
    <row r="5" spans="1:13">
      <c r="A5" s="5">
        <f>'02_PVT'!A6</f>
        <v>5</v>
      </c>
      <c r="B5" s="5">
        <f>'02_PVT'!B6</f>
        <v>200</v>
      </c>
      <c r="C5" s="5" t="str">
        <f>IF(B5&gt;'01_PARAMETROS'!$B$7,"Subsaturada",IF(B5='01_PARAMETROS'!$B$7,"Punto de burbuja","Bifásica"))</f>
        <v>Punto de burbuja</v>
      </c>
      <c r="D5" s="5">
        <f>'02_PVT'!C6</f>
        <v>1.395</v>
      </c>
      <c r="E5" s="5">
        <f>'01_PARAMETROS'!$B$9</f>
        <v>1.37</v>
      </c>
      <c r="F5" s="5">
        <f>'01_PARAMETROS'!$B$10</f>
        <v>128</v>
      </c>
      <c r="G5" s="5">
        <f>'02_PVT'!D6</f>
        <v>128</v>
      </c>
      <c r="H5" s="5">
        <f>IF('02_PVT'!E6="","",'02_PVT'!E6)</f>
        <v>0</v>
      </c>
      <c r="I5" s="5">
        <f t="shared" si="0"/>
        <v>2.4999999999999911E-2</v>
      </c>
      <c r="J5" s="5">
        <f t="shared" si="1"/>
        <v>0</v>
      </c>
      <c r="K5" s="5" t="str">
        <f>IF(B5&gt;='01_PARAMETROS'!$B$7,"",IF(H5="","",J5*H5))</f>
        <v/>
      </c>
      <c r="L5" s="5">
        <f>IF(B5&gt;='01_PARAMETROS'!$B$7,I5,IF(H5="","",I5+K5))</f>
        <v>2.4999999999999911E-2</v>
      </c>
      <c r="M5" s="5" t="str">
        <f>IF(B5&gt;='01_PARAMETROS'!$B$7,IF(ABS(L5-I5)&lt;0.000001,"OK","REVISAR"),IF(H5="","REVISAR",IF(ABS(L5-(I5+K5))&lt;0.000001,"OK","REVISAR")))</f>
        <v>OK</v>
      </c>
    </row>
    <row r="6" spans="1:13">
      <c r="A6" s="5">
        <f>'02_PVT'!A7</f>
        <v>6</v>
      </c>
      <c r="B6" s="5">
        <f>'02_PVT'!B7</f>
        <v>170</v>
      </c>
      <c r="C6" s="5" t="str">
        <f>IF(B6&gt;'01_PARAMETROS'!$B$7,"Subsaturada",IF(B6='01_PARAMETROS'!$B$7,"Punto de burbuja","Bifásica"))</f>
        <v>Bifásica</v>
      </c>
      <c r="D6" s="5">
        <f>'02_PVT'!C7</f>
        <v>1.36</v>
      </c>
      <c r="E6" s="5">
        <f>'01_PARAMETROS'!$B$9</f>
        <v>1.37</v>
      </c>
      <c r="F6" s="5">
        <f>'01_PARAMETROS'!$B$10</f>
        <v>128</v>
      </c>
      <c r="G6" s="5">
        <f>'02_PVT'!D7</f>
        <v>112</v>
      </c>
      <c r="H6" s="5">
        <f>IF('02_PVT'!E7="","",'02_PVT'!E7)</f>
        <v>6.1000000000000004E-3</v>
      </c>
      <c r="I6" s="5">
        <f t="shared" si="0"/>
        <v>-1.0000000000000009E-2</v>
      </c>
      <c r="J6" s="5">
        <f t="shared" si="1"/>
        <v>16</v>
      </c>
      <c r="K6" s="5">
        <f>IF(B6&gt;='01_PARAMETROS'!$B$7,"",IF(H6="","",J6*H6))</f>
        <v>9.7600000000000006E-2</v>
      </c>
      <c r="L6" s="5">
        <f>IF(B6&gt;='01_PARAMETROS'!$B$7,I6,IF(H6="","",I6+K6))</f>
        <v>8.7599999999999997E-2</v>
      </c>
      <c r="M6" s="5" t="str">
        <f>IF(B6&gt;='01_PARAMETROS'!$B$7,IF(ABS(L6-I6)&lt;0.000001,"OK","REVISAR"),IF(H6="","REVISAR",IF(ABS(L6-(I6+K6))&lt;0.000001,"OK","REVISAR")))</f>
        <v>OK</v>
      </c>
    </row>
    <row r="7" spans="1:13">
      <c r="A7" s="5">
        <f>'02_PVT'!A8</f>
        <v>7</v>
      </c>
      <c r="B7" s="5">
        <f>'02_PVT'!B8</f>
        <v>135</v>
      </c>
      <c r="C7" s="5" t="str">
        <f>IF(B7&gt;'01_PARAMETROS'!$B$7,"Subsaturada",IF(B7='01_PARAMETROS'!$B$7,"Punto de burbuja","Bifásica"))</f>
        <v>Bifásica</v>
      </c>
      <c r="D7" s="5">
        <f>'02_PVT'!C8</f>
        <v>1.32</v>
      </c>
      <c r="E7" s="5">
        <f>'01_PARAMETROS'!$B$9</f>
        <v>1.37</v>
      </c>
      <c r="F7" s="5">
        <f>'01_PARAMETROS'!$B$10</f>
        <v>128</v>
      </c>
      <c r="G7" s="5">
        <f>'02_PVT'!D8</f>
        <v>94</v>
      </c>
      <c r="H7" s="5">
        <f>IF('02_PVT'!E8="","",'02_PVT'!E8)</f>
        <v>7.5500000000000003E-3</v>
      </c>
      <c r="I7" s="5">
        <f t="shared" si="0"/>
        <v>-5.0000000000000044E-2</v>
      </c>
      <c r="J7" s="5">
        <f t="shared" si="1"/>
        <v>34</v>
      </c>
      <c r="K7" s="5">
        <f>IF(B7&gt;='01_PARAMETROS'!$B$7,"",IF(H7="","",J7*H7))</f>
        <v>0.25669999999999998</v>
      </c>
      <c r="L7" s="5">
        <f>IF(B7&gt;='01_PARAMETROS'!$B$7,I7,IF(H7="","",I7+K7))</f>
        <v>0.20669999999999994</v>
      </c>
      <c r="M7" s="5" t="str">
        <f>IF(B7&gt;='01_PARAMETROS'!$B$7,IF(ABS(L7-I7)&lt;0.000001,"OK","REVISAR"),IF(H7="","REVISAR",IF(ABS(L7-(I7+K7))&lt;0.000001,"OK","REVISAR")))</f>
        <v>OK</v>
      </c>
    </row>
    <row r="8" spans="1:13">
      <c r="A8" s="5">
        <f>'02_PVT'!A9</f>
        <v>8</v>
      </c>
      <c r="B8" s="5">
        <f>'02_PVT'!B9</f>
        <v>100</v>
      </c>
      <c r="C8" s="5" t="str">
        <f>IF(B8&gt;'01_PARAMETROS'!$B$7,"Subsaturada",IF(B8='01_PARAMETROS'!$B$7,"Punto de burbuja","Bifásica"))</f>
        <v>Bifásica</v>
      </c>
      <c r="D8" s="5">
        <f>'02_PVT'!C9</f>
        <v>1.28</v>
      </c>
      <c r="E8" s="5">
        <f>'01_PARAMETROS'!$B$9</f>
        <v>1.37</v>
      </c>
      <c r="F8" s="5">
        <f>'01_PARAMETROS'!$B$10</f>
        <v>128</v>
      </c>
      <c r="G8" s="5">
        <f>'02_PVT'!D9</f>
        <v>76</v>
      </c>
      <c r="H8" s="5">
        <f>IF('02_PVT'!E9="","",'02_PVT'!E9)</f>
        <v>9.9000000000000008E-3</v>
      </c>
      <c r="I8" s="5">
        <f t="shared" si="0"/>
        <v>-9.000000000000008E-2</v>
      </c>
      <c r="J8" s="5">
        <f t="shared" si="1"/>
        <v>52</v>
      </c>
      <c r="K8" s="5">
        <f>IF(B8&gt;='01_PARAMETROS'!$B$7,"",IF(H8="","",J8*H8))</f>
        <v>0.51480000000000004</v>
      </c>
      <c r="L8" s="5">
        <f>IF(B8&gt;='01_PARAMETROS'!$B$7,I8,IF(H8="","",I8+K8))</f>
        <v>0.42479999999999996</v>
      </c>
      <c r="M8" s="5" t="str">
        <f>IF(B8&gt;='01_PARAMETROS'!$B$7,IF(ABS(L8-I8)&lt;0.000001,"OK","REVISAR"),IF(H8="","REVISAR",IF(ABS(L8-(I8+K8))&lt;0.000001,"OK","REVISAR")))</f>
        <v>OK</v>
      </c>
    </row>
    <row r="11" spans="1:13">
      <c r="G11" s="33" t="s">
        <v>86</v>
      </c>
      <c r="H11" s="33"/>
      <c r="I11" s="33"/>
      <c r="J11" s="33"/>
      <c r="K11" s="33"/>
      <c r="L11" s="33"/>
      <c r="M11" s="33"/>
    </row>
    <row r="12" spans="1:13">
      <c r="G12" s="31" t="s">
        <v>87</v>
      </c>
      <c r="H12" s="31"/>
      <c r="I12" s="31"/>
      <c r="J12" s="31"/>
      <c r="K12" s="31"/>
      <c r="L12" s="31"/>
      <c r="M12" s="31"/>
    </row>
    <row r="13" spans="1:13" ht="14.4" customHeight="1">
      <c r="G13" s="31"/>
      <c r="H13" s="31"/>
      <c r="I13" s="31"/>
      <c r="J13" s="31"/>
      <c r="K13" s="31"/>
      <c r="L13" s="31"/>
      <c r="M13" s="31"/>
    </row>
    <row r="14" spans="1:13" ht="14.4" customHeight="1">
      <c r="G14" s="31"/>
      <c r="H14" s="31"/>
      <c r="I14" s="31"/>
      <c r="J14" s="31"/>
      <c r="K14" s="31"/>
      <c r="L14" s="31"/>
      <c r="M14" s="31"/>
    </row>
    <row r="15" spans="1:13" ht="14.4" customHeight="1">
      <c r="G15" s="31"/>
      <c r="H15" s="31"/>
      <c r="I15" s="31"/>
      <c r="J15" s="31"/>
      <c r="K15" s="31"/>
      <c r="L15" s="31"/>
      <c r="M15" s="31"/>
    </row>
    <row r="16" spans="1:13" ht="14.4" customHeight="1">
      <c r="G16" s="31"/>
      <c r="H16" s="31"/>
      <c r="I16" s="31"/>
      <c r="J16" s="31"/>
      <c r="K16" s="31"/>
      <c r="L16" s="31"/>
      <c r="M16" s="31"/>
    </row>
    <row r="17" spans="7:13" ht="14.4" customHeight="1">
      <c r="G17" s="31"/>
      <c r="H17" s="31"/>
      <c r="I17" s="31"/>
      <c r="J17" s="31"/>
      <c r="K17" s="31"/>
      <c r="L17" s="31"/>
      <c r="M17" s="31"/>
    </row>
    <row r="18" spans="7:13" ht="14.4" customHeight="1">
      <c r="G18" s="31"/>
      <c r="H18" s="31"/>
      <c r="I18" s="31"/>
      <c r="J18" s="31"/>
      <c r="K18" s="31"/>
      <c r="L18" s="31"/>
      <c r="M18" s="31"/>
    </row>
    <row r="19" spans="7:13" ht="14.4" customHeight="1">
      <c r="G19" s="31"/>
      <c r="H19" s="31"/>
      <c r="I19" s="31"/>
      <c r="J19" s="31"/>
      <c r="K19" s="31"/>
      <c r="L19" s="31"/>
      <c r="M19" s="31"/>
    </row>
    <row r="20" spans="7:13">
      <c r="G20" s="31"/>
      <c r="H20" s="31"/>
      <c r="I20" s="31"/>
      <c r="J20" s="31"/>
      <c r="K20" s="31"/>
      <c r="L20" s="31"/>
      <c r="M20" s="31"/>
    </row>
    <row r="21" spans="7:13">
      <c r="G21" s="31"/>
      <c r="H21" s="31"/>
      <c r="I21" s="31"/>
      <c r="J21" s="31"/>
      <c r="K21" s="31"/>
      <c r="L21" s="31"/>
      <c r="M21" s="31"/>
    </row>
    <row r="22" spans="7:13">
      <c r="G22" s="31"/>
      <c r="H22" s="31"/>
      <c r="I22" s="31"/>
      <c r="J22" s="31"/>
      <c r="K22" s="31"/>
      <c r="L22" s="31"/>
      <c r="M22" s="31"/>
    </row>
    <row r="23" spans="7:13" ht="14.4" customHeight="1">
      <c r="G23" s="31"/>
      <c r="H23" s="31"/>
      <c r="I23" s="31"/>
      <c r="J23" s="31"/>
      <c r="K23" s="31"/>
      <c r="L23" s="31"/>
      <c r="M23" s="31"/>
    </row>
    <row r="24" spans="7:13">
      <c r="G24" s="31"/>
      <c r="H24" s="31"/>
      <c r="I24" s="31"/>
      <c r="J24" s="31"/>
      <c r="K24" s="31"/>
      <c r="L24" s="31"/>
      <c r="M24" s="31"/>
    </row>
    <row r="25" spans="7:13">
      <c r="G25" s="8"/>
      <c r="H25" s="8"/>
      <c r="I25" s="8"/>
      <c r="J25" s="8"/>
      <c r="K25" s="8"/>
      <c r="L25" s="8"/>
      <c r="M25" s="8"/>
    </row>
    <row r="26" spans="7:13">
      <c r="G26" s="8"/>
      <c r="H26" s="8"/>
      <c r="I26" s="8"/>
      <c r="J26" s="8"/>
      <c r="K26" s="8"/>
      <c r="L26" s="8"/>
      <c r="M26" s="8"/>
    </row>
    <row r="27" spans="7:13">
      <c r="G27" s="8"/>
      <c r="H27" s="8"/>
      <c r="I27" s="8"/>
      <c r="J27" s="8"/>
      <c r="K27" s="8"/>
      <c r="L27" s="8"/>
      <c r="M27" s="8"/>
    </row>
    <row r="28" spans="7:13">
      <c r="G28" s="8"/>
      <c r="H28" s="8"/>
      <c r="I28" s="8"/>
      <c r="J28" s="8"/>
      <c r="K28" s="8"/>
      <c r="L28" s="8"/>
      <c r="M28" s="8"/>
    </row>
    <row r="29" spans="7:13">
      <c r="G29" s="8"/>
      <c r="H29" s="8"/>
      <c r="I29" s="8"/>
      <c r="J29" s="8"/>
      <c r="K29" s="8"/>
      <c r="L29" s="8"/>
      <c r="M29" s="8"/>
    </row>
    <row r="30" spans="7:13">
      <c r="G30" s="8"/>
      <c r="H30" s="8"/>
      <c r="I30" s="8"/>
      <c r="J30" s="8"/>
      <c r="K30" s="8"/>
      <c r="L30" s="8"/>
      <c r="M30" s="8"/>
    </row>
    <row r="31" spans="7:13">
      <c r="G31" s="8"/>
      <c r="H31" s="8"/>
      <c r="I31" s="8"/>
      <c r="J31" s="8"/>
      <c r="K31" s="8"/>
      <c r="L31" s="8"/>
      <c r="M31" s="8"/>
    </row>
    <row r="32" spans="7:13">
      <c r="G32" s="8"/>
      <c r="H32" s="8"/>
      <c r="I32" s="8"/>
      <c r="J32" s="8"/>
      <c r="K32" s="8"/>
      <c r="L32" s="8"/>
      <c r="M32" s="8"/>
    </row>
    <row r="33" spans="7:13">
      <c r="G33" s="8"/>
      <c r="H33" s="8"/>
      <c r="I33" s="8"/>
      <c r="J33" s="8"/>
      <c r="K33" s="8"/>
      <c r="L33" s="8"/>
      <c r="M33" s="8"/>
    </row>
  </sheetData>
  <mergeCells count="3">
    <mergeCell ref="G12:M24"/>
    <mergeCell ref="A1:M1"/>
    <mergeCell ref="G11:M1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ABB5B-94D5-472B-9F5E-5218D438F0DD}">
  <dimension ref="A1:R47"/>
  <sheetViews>
    <sheetView zoomScale="70" zoomScaleNormal="70" workbookViewId="0">
      <selection activeCell="K3" sqref="K3"/>
    </sheetView>
  </sheetViews>
  <sheetFormatPr baseColWidth="10" defaultRowHeight="14.4"/>
  <cols>
    <col min="2" max="2" width="16.44140625" customWidth="1"/>
    <col min="3" max="3" width="14.5546875" customWidth="1"/>
    <col min="15" max="15" width="18" customWidth="1"/>
    <col min="16" max="16" width="13.88671875" customWidth="1"/>
    <col min="17" max="17" width="12.33203125" customWidth="1"/>
    <col min="18" max="18" width="14.44140625" customWidth="1"/>
  </cols>
  <sheetData>
    <row r="1" spans="1:18">
      <c r="A1" s="32" t="s">
        <v>119</v>
      </c>
      <c r="B1" s="32"/>
      <c r="C1" s="32"/>
      <c r="D1" s="32"/>
      <c r="E1" s="32"/>
      <c r="F1" s="32"/>
      <c r="G1" s="32"/>
      <c r="H1" s="32"/>
      <c r="I1" s="32"/>
      <c r="J1" s="32"/>
      <c r="K1" s="32"/>
      <c r="L1" s="32"/>
      <c r="M1" s="32"/>
      <c r="N1" s="32"/>
      <c r="O1" s="32"/>
      <c r="P1" s="32"/>
      <c r="Q1" s="32"/>
      <c r="R1" s="11"/>
    </row>
    <row r="2" spans="1:18">
      <c r="A2" s="10" t="s">
        <v>50</v>
      </c>
      <c r="B2" s="10" t="s">
        <v>88</v>
      </c>
      <c r="C2" s="10" t="s">
        <v>83</v>
      </c>
      <c r="D2" s="10" t="s">
        <v>56</v>
      </c>
      <c r="E2" s="10" t="s">
        <v>89</v>
      </c>
      <c r="F2" s="10" t="s">
        <v>90</v>
      </c>
      <c r="G2" s="10" t="s">
        <v>91</v>
      </c>
      <c r="H2" s="10" t="s">
        <v>92</v>
      </c>
      <c r="I2" s="10" t="s">
        <v>77</v>
      </c>
      <c r="J2" s="10" t="s">
        <v>68</v>
      </c>
      <c r="K2" s="10" t="s">
        <v>93</v>
      </c>
      <c r="L2" s="10" t="s">
        <v>71</v>
      </c>
      <c r="M2" s="10" t="s">
        <v>73</v>
      </c>
      <c r="N2" s="10" t="s">
        <v>94</v>
      </c>
      <c r="O2" s="10" t="s">
        <v>95</v>
      </c>
      <c r="P2" s="10" t="s">
        <v>96</v>
      </c>
      <c r="Q2" s="10" t="s">
        <v>97</v>
      </c>
      <c r="R2" s="10" t="s">
        <v>102</v>
      </c>
    </row>
    <row r="3" spans="1:18">
      <c r="A3" s="5">
        <f>'02_PVT'!A4</f>
        <v>0</v>
      </c>
      <c r="B3" s="5">
        <f>'02_PVT'!B4</f>
        <v>320</v>
      </c>
      <c r="C3" s="5" t="str">
        <f>'04_EXPANSION'!C3</f>
        <v>Subsaturada</v>
      </c>
      <c r="D3" s="5">
        <f>'01_PARAMETROS'!$B$6-B3</f>
        <v>0</v>
      </c>
      <c r="E3" s="5">
        <f>'01_PARAMETROS'!$B$11</f>
        <v>100</v>
      </c>
      <c r="F3" s="5">
        <f>E3*D3</f>
        <v>0</v>
      </c>
      <c r="G3" s="5">
        <f>'01_PARAMETROS'!$B$12</f>
        <v>1.02</v>
      </c>
      <c r="H3" s="5">
        <f>F3*G3</f>
        <v>0</v>
      </c>
      <c r="I3" s="5">
        <f>'03_HISTORIAL'!C4</f>
        <v>0</v>
      </c>
      <c r="J3" s="5">
        <f>'02_PVT'!C4</f>
        <v>1.37</v>
      </c>
      <c r="K3" s="5" t="str">
        <f>IF('03_HISTORIAL'!F4="","",'03_HISTORIAL'!F4)</f>
        <v/>
      </c>
      <c r="L3" s="5">
        <f>'02_PVT'!D4</f>
        <v>128</v>
      </c>
      <c r="M3" s="5">
        <f>IF('02_PVT'!E4="","",'02_PVT'!E4)</f>
        <v>0</v>
      </c>
      <c r="N3" s="25">
        <f>I3*J3</f>
        <v>0</v>
      </c>
      <c r="O3" s="25" t="str">
        <f>IF(B3&gt;='01_PARAMETROS'!$B$7,"",IF(OR(M3="",K3=""),"",I3*(K3-L3)*M3))</f>
        <v/>
      </c>
      <c r="P3" s="25">
        <f>'03_HISTORIAL'!E4*G3</f>
        <v>0</v>
      </c>
      <c r="Q3" s="25">
        <f>IF(B3&gt;='01_PARAMETROS'!$B$7,N3+P3,IF(O3="","",N3+O3+P3))</f>
        <v>0</v>
      </c>
      <c r="R3" s="5" t="str">
        <f>IF(B3&gt;='01_PARAMETROS'!$B$7,IF(ABS(Q3-(N3+P3))&lt;0.000001,"OK","REVISAR"),IF(O3="","REVISAR",IF(ABS(Q3-(N3+O3+P3))&lt;0.000001,"OK","REVISAR")))</f>
        <v>OK</v>
      </c>
    </row>
    <row r="4" spans="1:18">
      <c r="A4" s="5">
        <f>'02_PVT'!A5</f>
        <v>2</v>
      </c>
      <c r="B4" s="5">
        <f>'02_PVT'!B5</f>
        <v>260</v>
      </c>
      <c r="C4" s="5" t="str">
        <f>'04_EXPANSION'!C4</f>
        <v>Subsaturada</v>
      </c>
      <c r="D4" s="5">
        <f>'01_PARAMETROS'!$B$6-B4</f>
        <v>60</v>
      </c>
      <c r="E4" s="5">
        <f>'01_PARAMETROS'!$B$11</f>
        <v>100</v>
      </c>
      <c r="F4" s="5">
        <f t="shared" ref="F4:F8" si="0">E4*D4</f>
        <v>6000</v>
      </c>
      <c r="G4" s="5">
        <f>'01_PARAMETROS'!$B$12</f>
        <v>1.02</v>
      </c>
      <c r="H4" s="5">
        <f t="shared" ref="H4:H8" si="1">F4*G4</f>
        <v>6120</v>
      </c>
      <c r="I4" s="5">
        <f>'03_HISTORIAL'!C5</f>
        <v>2500</v>
      </c>
      <c r="J4" s="5">
        <f>'02_PVT'!C5</f>
        <v>1.3819999999999999</v>
      </c>
      <c r="K4" s="5">
        <f>IF('03_HISTORIAL'!F5="","",'03_HISTORIAL'!F5)</f>
        <v>128</v>
      </c>
      <c r="L4" s="5">
        <f>'02_PVT'!D5</f>
        <v>128</v>
      </c>
      <c r="M4" s="5">
        <f>IF('02_PVT'!E5="","",'02_PVT'!E5)</f>
        <v>0</v>
      </c>
      <c r="N4" s="25">
        <f t="shared" ref="N4:N8" si="2">I4*J4</f>
        <v>3454.9999999999995</v>
      </c>
      <c r="O4" s="25" t="str">
        <f>IF(B4&gt;='01_PARAMETROS'!$B$7,"",IF(OR(M4="",K4=""),"",I4*(K4-L4)*M4))</f>
        <v/>
      </c>
      <c r="P4" s="25">
        <f>'03_HISTORIAL'!E5*G4</f>
        <v>183.6</v>
      </c>
      <c r="Q4" s="25">
        <f>IF(B4&gt;='01_PARAMETROS'!$B$7,N4+P4,IF(O4="","",N4+O4+P4))</f>
        <v>3638.5999999999995</v>
      </c>
      <c r="R4" s="5" t="str">
        <f>IF(B4&gt;='01_PARAMETROS'!$B$7,IF(ABS(Q4-(N4+P4))&lt;0.000001,"OK","REVISAR"),IF(O4="","REVISAR",IF(ABS(Q4-(N4+O4+P4))&lt;0.000001,"OK","REVISAR")))</f>
        <v>OK</v>
      </c>
    </row>
    <row r="5" spans="1:18">
      <c r="A5" s="5">
        <f>'02_PVT'!A6</f>
        <v>5</v>
      </c>
      <c r="B5" s="5">
        <f>'02_PVT'!B6</f>
        <v>200</v>
      </c>
      <c r="C5" s="5" t="str">
        <f>'04_EXPANSION'!C5</f>
        <v>Punto de burbuja</v>
      </c>
      <c r="D5" s="5">
        <f>'01_PARAMETROS'!$B$6-B5</f>
        <v>120</v>
      </c>
      <c r="E5" s="5">
        <f>'01_PARAMETROS'!$B$11</f>
        <v>100</v>
      </c>
      <c r="F5" s="5">
        <f t="shared" si="0"/>
        <v>12000</v>
      </c>
      <c r="G5" s="5">
        <f>'01_PARAMETROS'!$B$12</f>
        <v>1.02</v>
      </c>
      <c r="H5" s="5">
        <f t="shared" si="1"/>
        <v>12240</v>
      </c>
      <c r="I5" s="5">
        <f>'03_HISTORIAL'!C6</f>
        <v>6200</v>
      </c>
      <c r="J5" s="5">
        <f>'02_PVT'!C6</f>
        <v>1.395</v>
      </c>
      <c r="K5" s="5">
        <f>IF('03_HISTORIAL'!F6="","",'03_HISTORIAL'!F6)</f>
        <v>128</v>
      </c>
      <c r="L5" s="5">
        <f>'02_PVT'!D6</f>
        <v>128</v>
      </c>
      <c r="M5" s="5">
        <f>IF('02_PVT'!E6="","",'02_PVT'!E6)</f>
        <v>0</v>
      </c>
      <c r="N5" s="25">
        <f t="shared" si="2"/>
        <v>8649</v>
      </c>
      <c r="O5" s="25" t="str">
        <f>IF(B5&gt;='01_PARAMETROS'!$B$7,"",IF(OR(M5="",K5=""),"",I5*(K5-L5)*M5))</f>
        <v/>
      </c>
      <c r="P5" s="25">
        <f>'03_HISTORIAL'!E6*G5</f>
        <v>520.20000000000005</v>
      </c>
      <c r="Q5" s="25">
        <f>IF(B5&gt;='01_PARAMETROS'!$B$7,N5+P5,IF(O5="","",N5+O5+P5))</f>
        <v>9169.2000000000007</v>
      </c>
      <c r="R5" s="5" t="str">
        <f>IF(B5&gt;='01_PARAMETROS'!$B$7,IF(ABS(Q5-(N5+P5))&lt;0.000001,"OK","REVISAR"),IF(O5="","REVISAR",IF(ABS(Q5-(N5+O5+P5))&lt;0.000001,"OK","REVISAR")))</f>
        <v>OK</v>
      </c>
    </row>
    <row r="6" spans="1:18">
      <c r="A6" s="5">
        <f>'02_PVT'!A7</f>
        <v>6</v>
      </c>
      <c r="B6" s="5">
        <f>'02_PVT'!B7</f>
        <v>170</v>
      </c>
      <c r="C6" s="5" t="str">
        <f>'04_EXPANSION'!C6</f>
        <v>Bifásica</v>
      </c>
      <c r="D6" s="5">
        <f>'01_PARAMETROS'!$B$6-B6</f>
        <v>150</v>
      </c>
      <c r="E6" s="5">
        <f>'01_PARAMETROS'!$B$11</f>
        <v>100</v>
      </c>
      <c r="F6" s="5">
        <f t="shared" si="0"/>
        <v>15000</v>
      </c>
      <c r="G6" s="5">
        <f>'01_PARAMETROS'!$B$12</f>
        <v>1.02</v>
      </c>
      <c r="H6" s="5">
        <f t="shared" si="1"/>
        <v>15300</v>
      </c>
      <c r="I6" s="5">
        <f>'03_HISTORIAL'!C7</f>
        <v>9000</v>
      </c>
      <c r="J6" s="5">
        <f>'02_PVT'!C7</f>
        <v>1.36</v>
      </c>
      <c r="K6" s="5">
        <f>IF('03_HISTORIAL'!F7="","",'03_HISTORIAL'!F7)</f>
        <v>135</v>
      </c>
      <c r="L6" s="5">
        <f>'02_PVT'!D7</f>
        <v>112</v>
      </c>
      <c r="M6" s="5">
        <f>IF('02_PVT'!E7="","",'02_PVT'!E7)</f>
        <v>6.1000000000000004E-3</v>
      </c>
      <c r="N6" s="25">
        <f t="shared" si="2"/>
        <v>12240</v>
      </c>
      <c r="O6" s="25">
        <f>IF(B6&gt;='01_PARAMETROS'!$B$7,"",IF(OR(M6="",K6=""),"",I6*(K6-L6)*M6))</f>
        <v>1262.7</v>
      </c>
      <c r="P6" s="25">
        <f>'03_HISTORIAL'!E7*G6</f>
        <v>867</v>
      </c>
      <c r="Q6" s="25">
        <f>IF(B6&gt;='01_PARAMETROS'!$B$7,N6+P6,IF(O6="","",N6+O6+P6))</f>
        <v>14369.7</v>
      </c>
      <c r="R6" s="5" t="str">
        <f>IF(B6&gt;='01_PARAMETROS'!$B$7,IF(ABS(Q6-(N6+P6))&lt;0.000001,"OK","REVISAR"),IF(O6="","REVISAR",IF(ABS(Q6-(N6+O6+P6))&lt;0.000001,"OK","REVISAR")))</f>
        <v>OK</v>
      </c>
    </row>
    <row r="7" spans="1:18">
      <c r="A7" s="5">
        <f>'02_PVT'!A8</f>
        <v>7</v>
      </c>
      <c r="B7" s="5">
        <f>'02_PVT'!B8</f>
        <v>135</v>
      </c>
      <c r="C7" s="5" t="str">
        <f>'04_EXPANSION'!C7</f>
        <v>Bifásica</v>
      </c>
      <c r="D7" s="5">
        <f>'01_PARAMETROS'!$B$6-B7</f>
        <v>185</v>
      </c>
      <c r="E7" s="5">
        <f>'01_PARAMETROS'!$B$11</f>
        <v>100</v>
      </c>
      <c r="F7" s="5">
        <f t="shared" si="0"/>
        <v>18500</v>
      </c>
      <c r="G7" s="5">
        <f>'01_PARAMETROS'!$B$12</f>
        <v>1.02</v>
      </c>
      <c r="H7" s="5">
        <f t="shared" si="1"/>
        <v>18870</v>
      </c>
      <c r="I7" s="5">
        <f>'03_HISTORIAL'!C8</f>
        <v>12500</v>
      </c>
      <c r="J7" s="5">
        <f>'02_PVT'!C8</f>
        <v>1.32</v>
      </c>
      <c r="K7" s="5">
        <f>IF('03_HISTORIAL'!F8="","",'03_HISTORIAL'!F8)</f>
        <v>145</v>
      </c>
      <c r="L7" s="5">
        <f>'02_PVT'!D8</f>
        <v>94</v>
      </c>
      <c r="M7" s="5">
        <f>IF('02_PVT'!E8="","",'02_PVT'!E8)</f>
        <v>7.5500000000000003E-3</v>
      </c>
      <c r="N7" s="25">
        <f t="shared" si="2"/>
        <v>16500</v>
      </c>
      <c r="O7" s="25">
        <f>IF(B7&gt;='01_PARAMETROS'!$B$7,"",IF(OR(M7="",K7=""),"",I7*(K7-L7)*M7))</f>
        <v>4813.125</v>
      </c>
      <c r="P7" s="25">
        <f>'03_HISTORIAL'!E8*G7</f>
        <v>1377</v>
      </c>
      <c r="Q7" s="25">
        <f>IF(B7&gt;='01_PARAMETROS'!$B$7,N7+P7,IF(O7="","",N7+O7+P7))</f>
        <v>22690.125</v>
      </c>
      <c r="R7" s="5" t="str">
        <f>IF(B7&gt;='01_PARAMETROS'!$B$7,IF(ABS(Q7-(N7+P7))&lt;0.000001,"OK","REVISAR"),IF(O7="","REVISAR",IF(ABS(Q7-(N7+O7+P7))&lt;0.000001,"OK","REVISAR")))</f>
        <v>OK</v>
      </c>
    </row>
    <row r="8" spans="1:18">
      <c r="A8" s="5">
        <f>'02_PVT'!A9</f>
        <v>8</v>
      </c>
      <c r="B8" s="5">
        <f>'02_PVT'!B9</f>
        <v>100</v>
      </c>
      <c r="C8" s="5" t="str">
        <f>'04_EXPANSION'!C8</f>
        <v>Bifásica</v>
      </c>
      <c r="D8" s="5">
        <f>'01_PARAMETROS'!$B$6-B8</f>
        <v>220</v>
      </c>
      <c r="E8" s="5">
        <f>'01_PARAMETROS'!$B$11</f>
        <v>100</v>
      </c>
      <c r="F8" s="5">
        <f t="shared" si="0"/>
        <v>22000</v>
      </c>
      <c r="G8" s="5">
        <f>'01_PARAMETROS'!$B$12</f>
        <v>1.02</v>
      </c>
      <c r="H8" s="5">
        <f t="shared" si="1"/>
        <v>22440</v>
      </c>
      <c r="I8" s="5">
        <f>'03_HISTORIAL'!C9</f>
        <v>15500</v>
      </c>
      <c r="J8" s="5">
        <f>'02_PVT'!C9</f>
        <v>1.28</v>
      </c>
      <c r="K8" s="5">
        <f>IF('03_HISTORIAL'!F9="","",'03_HISTORIAL'!F9)</f>
        <v>160</v>
      </c>
      <c r="L8" s="5">
        <f>'02_PVT'!D9</f>
        <v>76</v>
      </c>
      <c r="M8" s="5">
        <f>IF('02_PVT'!E9="","",'02_PVT'!E9)</f>
        <v>9.9000000000000008E-3</v>
      </c>
      <c r="N8" s="25">
        <f t="shared" si="2"/>
        <v>19840</v>
      </c>
      <c r="O8" s="25">
        <f>IF(B8&gt;='01_PARAMETROS'!$B$7,"",IF(OR(M8="",K8=""),"",I8*(K8-L8)*M8))</f>
        <v>12889.800000000001</v>
      </c>
      <c r="P8" s="25">
        <f>'03_HISTORIAL'!E9*G8</f>
        <v>2091</v>
      </c>
      <c r="Q8" s="25">
        <f>IF(B8&gt;='01_PARAMETROS'!$B$7,N8+P8,IF(O8="","",N8+O8+P8))</f>
        <v>34820.800000000003</v>
      </c>
      <c r="R8" s="5" t="str">
        <f>IF(B8&gt;='01_PARAMETROS'!$B$7,IF(ABS(Q8-(N8+P8))&lt;0.000001,"OK","REVISAR"),IF(O8="","REVISAR",IF(ABS(Q8-(N8+O8+P8))&lt;0.000001,"OK","REVISAR")))</f>
        <v>OK</v>
      </c>
    </row>
    <row r="11" spans="1:18">
      <c r="A11" s="10" t="s">
        <v>50</v>
      </c>
      <c r="B11" s="10" t="s">
        <v>103</v>
      </c>
      <c r="C11" s="10" t="s">
        <v>104</v>
      </c>
    </row>
    <row r="12" spans="1:18">
      <c r="A12" s="5">
        <f>A3</f>
        <v>0</v>
      </c>
      <c r="B12" s="5">
        <f>F3</f>
        <v>0</v>
      </c>
      <c r="C12" s="25">
        <f>Q3</f>
        <v>0</v>
      </c>
    </row>
    <row r="13" spans="1:18">
      <c r="A13" s="5">
        <f t="shared" ref="A13:A17" si="3">A4</f>
        <v>2</v>
      </c>
      <c r="B13" s="5">
        <f t="shared" ref="B13:B17" si="4">F4</f>
        <v>6000</v>
      </c>
      <c r="C13" s="25">
        <f t="shared" ref="C13:C17" si="5">Q4</f>
        <v>3638.5999999999995</v>
      </c>
    </row>
    <row r="14" spans="1:18">
      <c r="A14" s="5">
        <f t="shared" si="3"/>
        <v>5</v>
      </c>
      <c r="B14" s="5">
        <f t="shared" si="4"/>
        <v>12000</v>
      </c>
      <c r="C14" s="25">
        <f t="shared" si="5"/>
        <v>9169.2000000000007</v>
      </c>
    </row>
    <row r="15" spans="1:18">
      <c r="A15" s="5">
        <f t="shared" si="3"/>
        <v>6</v>
      </c>
      <c r="B15" s="5">
        <f t="shared" si="4"/>
        <v>15000</v>
      </c>
      <c r="C15" s="25">
        <f t="shared" si="5"/>
        <v>14369.7</v>
      </c>
    </row>
    <row r="16" spans="1:18">
      <c r="A16" s="5">
        <f t="shared" si="3"/>
        <v>7</v>
      </c>
      <c r="B16" s="5">
        <f t="shared" si="4"/>
        <v>18500</v>
      </c>
      <c r="C16" s="25">
        <f t="shared" si="5"/>
        <v>22690.125</v>
      </c>
    </row>
    <row r="17" spans="1:14">
      <c r="A17" s="5">
        <f t="shared" si="3"/>
        <v>8</v>
      </c>
      <c r="B17" s="5">
        <f t="shared" si="4"/>
        <v>22000</v>
      </c>
      <c r="C17" s="25">
        <f t="shared" si="5"/>
        <v>34820.800000000003</v>
      </c>
    </row>
    <row r="31" spans="1:14">
      <c r="A31" s="33" t="s">
        <v>106</v>
      </c>
      <c r="B31" s="33"/>
      <c r="C31" s="33"/>
      <c r="D31" s="33"/>
      <c r="E31" s="33"/>
      <c r="F31" s="33"/>
      <c r="G31" s="33"/>
      <c r="I31" s="33" t="s">
        <v>105</v>
      </c>
      <c r="J31" s="33"/>
      <c r="K31" s="33"/>
      <c r="L31" s="33"/>
      <c r="M31" s="33"/>
      <c r="N31" s="33"/>
    </row>
    <row r="32" spans="1:14">
      <c r="A32" s="31" t="s">
        <v>107</v>
      </c>
      <c r="B32" s="31"/>
      <c r="C32" s="31"/>
      <c r="D32" s="31"/>
      <c r="E32" s="31"/>
      <c r="F32" s="31"/>
      <c r="G32" s="31"/>
    </row>
    <row r="33" spans="1:7" ht="14.4" customHeight="1">
      <c r="A33" s="31"/>
      <c r="B33" s="31"/>
      <c r="C33" s="31"/>
      <c r="D33" s="31"/>
      <c r="E33" s="31"/>
      <c r="F33" s="31"/>
      <c r="G33" s="31"/>
    </row>
    <row r="34" spans="1:7" ht="14.4" customHeight="1">
      <c r="A34" s="31"/>
      <c r="B34" s="31"/>
      <c r="C34" s="31"/>
      <c r="D34" s="31"/>
      <c r="E34" s="31"/>
      <c r="F34" s="31"/>
      <c r="G34" s="31"/>
    </row>
    <row r="35" spans="1:7" ht="14.4" customHeight="1">
      <c r="A35" s="31"/>
      <c r="B35" s="31"/>
      <c r="C35" s="31"/>
      <c r="D35" s="31"/>
      <c r="E35" s="31"/>
      <c r="F35" s="31"/>
      <c r="G35" s="31"/>
    </row>
    <row r="36" spans="1:7" ht="14.4" customHeight="1">
      <c r="A36" s="31"/>
      <c r="B36" s="31"/>
      <c r="C36" s="31"/>
      <c r="D36" s="31"/>
      <c r="E36" s="31"/>
      <c r="F36" s="31"/>
      <c r="G36" s="31"/>
    </row>
    <row r="37" spans="1:7" ht="14.4" customHeight="1">
      <c r="A37" s="31"/>
      <c r="B37" s="31"/>
      <c r="C37" s="31"/>
      <c r="D37" s="31"/>
      <c r="E37" s="31"/>
      <c r="F37" s="31"/>
      <c r="G37" s="31"/>
    </row>
    <row r="38" spans="1:7" ht="14.4" customHeight="1">
      <c r="A38" s="31"/>
      <c r="B38" s="31"/>
      <c r="C38" s="31"/>
      <c r="D38" s="31"/>
      <c r="E38" s="31"/>
      <c r="F38" s="31"/>
      <c r="G38" s="31"/>
    </row>
    <row r="39" spans="1:7" ht="14.4" customHeight="1">
      <c r="A39" s="31"/>
      <c r="B39" s="31"/>
      <c r="C39" s="31"/>
      <c r="D39" s="31"/>
      <c r="E39" s="31"/>
      <c r="F39" s="31"/>
      <c r="G39" s="31"/>
    </row>
    <row r="40" spans="1:7" ht="14.4" customHeight="1">
      <c r="A40" s="31"/>
      <c r="B40" s="31"/>
      <c r="C40" s="31"/>
      <c r="D40" s="31"/>
      <c r="E40" s="31"/>
      <c r="F40" s="31"/>
      <c r="G40" s="31"/>
    </row>
    <row r="41" spans="1:7">
      <c r="A41" s="31"/>
      <c r="B41" s="31"/>
      <c r="C41" s="31"/>
      <c r="D41" s="31"/>
      <c r="E41" s="31"/>
      <c r="F41" s="31"/>
      <c r="G41" s="31"/>
    </row>
    <row r="42" spans="1:7">
      <c r="A42" s="31"/>
      <c r="B42" s="31"/>
      <c r="C42" s="31"/>
      <c r="D42" s="31"/>
      <c r="E42" s="31"/>
      <c r="F42" s="31"/>
      <c r="G42" s="31"/>
    </row>
    <row r="43" spans="1:7">
      <c r="A43" s="31"/>
      <c r="B43" s="31"/>
      <c r="C43" s="31"/>
      <c r="D43" s="31"/>
      <c r="E43" s="31"/>
      <c r="F43" s="31"/>
      <c r="G43" s="31"/>
    </row>
    <row r="44" spans="1:7">
      <c r="A44" s="8"/>
      <c r="B44" s="8"/>
      <c r="C44" s="8"/>
      <c r="D44" s="8"/>
      <c r="E44" s="8"/>
      <c r="F44" s="8"/>
      <c r="G44" s="8"/>
    </row>
    <row r="45" spans="1:7">
      <c r="A45" s="8"/>
      <c r="B45" s="8"/>
      <c r="C45" s="8"/>
      <c r="D45" s="8"/>
      <c r="E45" s="8"/>
      <c r="F45" s="8"/>
      <c r="G45" s="8"/>
    </row>
    <row r="46" spans="1:7">
      <c r="A46" s="8"/>
      <c r="B46" s="8"/>
      <c r="C46" s="8"/>
      <c r="D46" s="8"/>
      <c r="E46" s="8"/>
      <c r="F46" s="8"/>
      <c r="G46" s="8"/>
    </row>
    <row r="47" spans="1:7">
      <c r="A47" s="8"/>
      <c r="B47" s="8"/>
      <c r="C47" s="8"/>
      <c r="D47" s="8"/>
      <c r="E47" s="8"/>
      <c r="F47" s="8"/>
      <c r="G47" s="8"/>
    </row>
  </sheetData>
  <mergeCells count="4">
    <mergeCell ref="A32:G43"/>
    <mergeCell ref="A1:Q1"/>
    <mergeCell ref="A31:G31"/>
    <mergeCell ref="I31:N3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00_PORTADA</vt:lpstr>
      <vt:lpstr>01_PARAMETROS</vt:lpstr>
      <vt:lpstr>01_CARACTERIZACION</vt:lpstr>
      <vt:lpstr>02_PVT</vt:lpstr>
      <vt:lpstr>03_HISTORIAL</vt:lpstr>
      <vt:lpstr>04_EXPANSION</vt:lpstr>
      <vt:lpstr>05_RETIRO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Isabella Ponce</dc:creator>
  <cp:lastModifiedBy>Erick Luna</cp:lastModifiedBy>
  <dcterms:created xsi:type="dcterms:W3CDTF">2026-10-02T23:31:58Z</dcterms:created>
  <dcterms:modified xsi:type="dcterms:W3CDTF">2026-10-23T22:48:52Z</dcterms:modified>
</cp:coreProperties>
</file>